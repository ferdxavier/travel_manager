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28.xml" ContentType="application/vnd.openxmlformats-officedocument.spreadsheetml.worksheet+xml"/>
  <Override PartName="/xl/worksheets/sheet40.xml" ContentType="application/vnd.openxmlformats-officedocument.spreadsheetml.worksheet+xml"/>
  <Override PartName="/xl/worksheets/sheet43.xml" ContentType="application/vnd.openxmlformats-officedocument.spreadsheetml.worksheet+xml"/>
  <Override PartName="/xl/worksheets/sheet19.xml" ContentType="application/vnd.openxmlformats-officedocument.spreadsheetml.worksheet+xml"/>
  <Override PartName="/xl/worksheets/sheet15.xml" ContentType="application/vnd.openxmlformats-officedocument.spreadsheetml.worksheet+xml"/>
  <Override PartName="/xl/worksheets/sheet45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39.xml" ContentType="application/vnd.openxmlformats-officedocument.spreadsheetml.worksheet+xml"/>
  <Override PartName="/xl/worksheets/sheet24.xml" ContentType="application/vnd.openxmlformats-officedocument.spreadsheetml.worksheet+xml"/>
  <Override PartName="/xl/worksheets/sheet36.xml" ContentType="application/vnd.openxmlformats-officedocument.spreadsheetml.worksheet+xml"/>
  <Override PartName="/xl/worksheets/sheet44.xml" ContentType="application/vnd.openxmlformats-officedocument.spreadsheetml.worksheet+xml"/>
  <Override PartName="/xl/worksheets/sheet46.xml" ContentType="application/vnd.openxmlformats-officedocument.spreadsheetml.worksheet+xml"/>
  <Override PartName="/xl/worksheets/sheet3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8.xml" ContentType="application/vnd.openxmlformats-officedocument.spreadsheetml.worksheet+xml"/>
  <Override PartName="/xl/worksheets/sheet6.xml" ContentType="application/vnd.openxmlformats-officedocument.spreadsheetml.worksheet+xml"/>
  <Override PartName="/xl/worksheets/sheet2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23.xml" ContentType="application/vnd.openxmlformats-officedocument.spreadsheetml.worksheet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14.xml" ContentType="application/vnd.openxmlformats-officedocument.spreadsheetml.worksheet+xml"/>
  <Override PartName="/xl/worksheets/sheet35.xml" ContentType="application/vnd.openxmlformats-officedocument.spreadsheetml.worksheet+xml"/>
  <Override PartName="/xl/worksheets/sheet13.xml" ContentType="application/vnd.openxmlformats-officedocument.spreadsheetml.worksheet+xml"/>
  <Override PartName="/xl/worksheets/_rels/sheet15.xml.rels" ContentType="application/vnd.openxmlformats-package.relationships+xml"/>
  <Override PartName="/xl/worksheets/_rels/sheet12.xml.rels" ContentType="application/vnd.openxmlformats-package.relationships+xml"/>
  <Override PartName="/xl/worksheets/_rels/sheet30.xml.rels" ContentType="application/vnd.openxmlformats-package.relationships+xml"/>
  <Override PartName="/xl/worksheets/_rels/sheet31.xml.rels" ContentType="application/vnd.openxmlformats-package.relationships+xml"/>
  <Override PartName="/xl/worksheets/_rels/sheet11.xml.rels" ContentType="application/vnd.openxmlformats-package.relationships+xml"/>
  <Override PartName="/xl/worksheets/_rels/sheet3.xml.rels" ContentType="application/vnd.openxmlformats-package.relationships+xml"/>
  <Override PartName="/xl/worksheets/_rels/sheet18.xml.rels" ContentType="application/vnd.openxmlformats-package.relationships+xml"/>
  <Override PartName="/xl/worksheets/_rels/sheet32.xml.rels" ContentType="application/vnd.openxmlformats-package.relationships+xml"/>
  <Override PartName="/xl/worksheets/_rels/sheet10.xml.rels" ContentType="application/vnd.openxmlformats-package.relationships+xml"/>
  <Override PartName="/xl/worksheets/_rels/sheet45.xml.rels" ContentType="application/vnd.openxmlformats-package.relationships+xml"/>
  <Override PartName="/xl/worksheets/_rels/sheet2.xml.rels" ContentType="application/vnd.openxmlformats-package.relationships+xml"/>
  <Override PartName="/xl/worksheets/_rels/sheet27.xml.rels" ContentType="application/vnd.openxmlformats-package.relationships+xml"/>
  <Override PartName="/xl/worksheets/_rels/sheet43.xml.rels" ContentType="application/vnd.openxmlformats-package.relationships+xml"/>
  <Override PartName="/xl/worksheets/_rels/sheet23.xml.rels" ContentType="application/vnd.openxmlformats-package.relationships+xml"/>
  <Override PartName="/xl/worksheets/_rels/sheet17.xml.rels" ContentType="application/vnd.openxmlformats-package.relationships+xml"/>
  <Override PartName="/xl/worksheets/_rels/sheet19.xml.rels" ContentType="application/vnd.openxmlformats-package.relationships+xml"/>
  <Override PartName="/xl/worksheets/_rels/sheet22.xml.rels" ContentType="application/vnd.openxmlformats-package.relationships+xml"/>
  <Override PartName="/xl/worksheets/_rels/sheet6.xml.rels" ContentType="application/vnd.openxmlformats-package.relationships+xml"/>
  <Override PartName="/xl/worksheets/_rels/sheet39.xml.rels" ContentType="application/vnd.openxmlformats-package.relationships+xml"/>
  <Override PartName="/xl/worksheets/_rels/sheet26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28.xml.rels" ContentType="application/vnd.openxmlformats-package.relationships+xml"/>
  <Override PartName="/xl/worksheets/_rels/sheet29.xml.rels" ContentType="application/vnd.openxmlformats-package.relationships+xml"/>
  <Override PartName="/xl/worksheets/_rels/sheet24.xml.rels" ContentType="application/vnd.openxmlformats-package.relationships+xml"/>
  <Override PartName="/xl/worksheets/_rels/sheet34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_rels/sheet35.xml.rels" ContentType="application/vnd.openxmlformats-package.relationships+xml"/>
  <Override PartName="/xl/worksheets/_rels/sheet40.xml.rels" ContentType="application/vnd.openxmlformats-package.relationships+xml"/>
  <Override PartName="/xl/worksheets/_rels/sheet25.xml.rels" ContentType="application/vnd.openxmlformats-package.relationships+xml"/>
  <Override PartName="/xl/worksheets/_rels/sheet36.xml.rels" ContentType="application/vnd.openxmlformats-package.relationships+xml"/>
  <Override PartName="/xl/worksheets/_rels/sheet1.xml.rels" ContentType="application/vnd.openxmlformats-package.relationships+xml"/>
  <Override PartName="/xl/worksheets/_rels/sheet37.xml.rels" ContentType="application/vnd.openxmlformats-package.relationships+xml"/>
  <Override PartName="/xl/worksheets/_rels/sheet13.xml.rels" ContentType="application/vnd.openxmlformats-package.relationships+xml"/>
  <Override PartName="/xl/worksheets/_rels/sheet21.xml.rels" ContentType="application/vnd.openxmlformats-package.relationships+xml"/>
  <Override PartName="/xl/worksheets/_rels/sheet38.xml.rels" ContentType="application/vnd.openxmlformats-package.relationships+xml"/>
  <Override PartName="/xl/worksheets/_rels/sheet16.xml.rels" ContentType="application/vnd.openxmlformats-package.relationships+xml"/>
  <Override PartName="/xl/worksheets/_rels/sheet20.xml.rels" ContentType="application/vnd.openxmlformats-package.relationships+xml"/>
  <Override PartName="/xl/worksheets/_rels/sheet9.xml.rels" ContentType="application/vnd.openxmlformats-package.relationships+xml"/>
  <Override PartName="/xl/worksheets/_rels/sheet41.xml.rels" ContentType="application/vnd.openxmlformats-package.relationships+xml"/>
  <Override PartName="/xl/worksheets/_rels/sheet42.xml.rels" ContentType="application/vnd.openxmlformats-package.relationships+xml"/>
  <Override PartName="/xl/worksheets/_rels/sheet33.xml.rels" ContentType="application/vnd.openxmlformats-package.relationships+xml"/>
  <Override PartName="/xl/worksheets/_rels/sheet44.xml.rels" ContentType="application/vnd.openxmlformats-package.relationships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28.xml" ContentType="application/vnd.openxmlformats-officedocument.drawing+xml"/>
  <Override PartName="/xl/drawings/drawing26.xml" ContentType="application/vnd.openxmlformats-officedocument.drawing+xml"/>
  <Override PartName="/xl/drawings/_rels/drawing11.xml.rels" ContentType="application/vnd.openxmlformats-package.relationships+xml"/>
  <Override PartName="/xl/drawings/_rels/drawing20.xml.rels" ContentType="application/vnd.openxmlformats-package.relationships+xml"/>
  <Override PartName="/xl/drawings/_rels/drawing6.xml.rels" ContentType="application/vnd.openxmlformats-package.relationships+xml"/>
  <Override PartName="/xl/drawings/_rels/drawing4.xml.rels" ContentType="application/vnd.openxmlformats-package.relationships+xml"/>
  <Override PartName="/xl/drawings/_rels/drawing30.xml.rels" ContentType="application/vnd.openxmlformats-package.relationships+xml"/>
  <Override PartName="/xl/drawings/_rels/drawing7.xml.rels" ContentType="application/vnd.openxmlformats-package.relationships+xml"/>
  <Override PartName="/xl/drawings/_rels/drawing19.xml.rels" ContentType="application/vnd.openxmlformats-package.relationships+xml"/>
  <Override PartName="/xl/drawings/_rels/drawing23.xml.rels" ContentType="application/vnd.openxmlformats-package.relationships+xml"/>
  <Override PartName="/xl/drawings/_rels/drawing36.xml.rels" ContentType="application/vnd.openxmlformats-package.relationships+xml"/>
  <Override PartName="/xl/drawings/_rels/drawing33.xml.rels" ContentType="application/vnd.openxmlformats-package.relationships+xml"/>
  <Override PartName="/xl/drawings/_rels/drawing24.xml.rels" ContentType="application/vnd.openxmlformats-package.relationships+xml"/>
  <Override PartName="/xl/drawings/_rels/drawing10.xml.rels" ContentType="application/vnd.openxmlformats-package.relationships+xml"/>
  <Override PartName="/xl/drawings/_rels/drawing17.xml.rels" ContentType="application/vnd.openxmlformats-package.relationships+xml"/>
  <Override PartName="/xl/drawings/_rels/drawing13.xml.rels" ContentType="application/vnd.openxmlformats-package.relationships+xml"/>
  <Override PartName="/xl/drawings/_rels/drawing22.xml.rels" ContentType="application/vnd.openxmlformats-package.relationships+xml"/>
  <Override PartName="/xl/drawings/_rels/drawing26.xml.rels" ContentType="application/vnd.openxmlformats-package.relationships+xml"/>
  <Override PartName="/xl/drawings/_rels/drawing43.xml.rels" ContentType="application/vnd.openxmlformats-package.relationships+xml"/>
  <Override PartName="/xl/drawings/_rels/drawing5.xml.rels" ContentType="application/vnd.openxmlformats-package.relationships+xml"/>
  <Override PartName="/xl/drawings/_rels/drawing35.xml.rels" ContentType="application/vnd.openxmlformats-package.relationships+xml"/>
  <Override PartName="/xl/drawings/_rels/drawing25.xml.rels" ContentType="application/vnd.openxmlformats-package.relationships+xml"/>
  <Override PartName="/xl/drawings/_rels/drawing12.xml.rels" ContentType="application/vnd.openxmlformats-package.relationships+xml"/>
  <Override PartName="/xl/drawings/_rels/drawing9.xml.rels" ContentType="application/vnd.openxmlformats-package.relationships+xml"/>
  <Override PartName="/xl/drawings/_rels/drawing27.xml.rels" ContentType="application/vnd.openxmlformats-package.relationships+xml"/>
  <Override PartName="/xl/drawings/_rels/drawing16.xml.rels" ContentType="application/vnd.openxmlformats-package.relationships+xml"/>
  <Override PartName="/xl/drawings/_rels/drawing15.xml.rels" ContentType="application/vnd.openxmlformats-package.relationships+xml"/>
  <Override PartName="/xl/drawings/_rels/drawing28.xml.rels" ContentType="application/vnd.openxmlformats-package.relationships+xml"/>
  <Override PartName="/xl/drawings/_rels/drawing29.xml.rels" ContentType="application/vnd.openxmlformats-package.relationships+xml"/>
  <Override PartName="/xl/drawings/_rels/drawing31.xml.rels" ContentType="application/vnd.openxmlformats-package.relationships+xml"/>
  <Override PartName="/xl/drawings/_rels/drawing34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0.xml.rels" ContentType="application/vnd.openxmlformats-package.relationships+xml"/>
  <Override PartName="/xl/drawings/_rels/drawing18.xml.rels" ContentType="application/vnd.openxmlformats-package.relationships+xml"/>
  <Override PartName="/xl/drawings/_rels/drawing1.xml.rels" ContentType="application/vnd.openxmlformats-package.relationships+xml"/>
  <Override PartName="/xl/drawings/_rels/drawing39.xml.rels" ContentType="application/vnd.openxmlformats-package.relationships+xml"/>
  <Override PartName="/xl/drawings/_rels/drawing41.xml.rels" ContentType="application/vnd.openxmlformats-package.relationships+xml"/>
  <Override PartName="/xl/drawings/_rels/drawing14.xml.rels" ContentType="application/vnd.openxmlformats-package.relationships+xml"/>
  <Override PartName="/xl/drawings/_rels/drawing38.xml.rels" ContentType="application/vnd.openxmlformats-package.relationships+xml"/>
  <Override PartName="/xl/drawings/_rels/drawing42.xml.rels" ContentType="application/vnd.openxmlformats-package.relationships+xml"/>
  <Override PartName="/xl/drawings/_rels/drawing8.xml.rels" ContentType="application/vnd.openxmlformats-package.relationships+xml"/>
  <Override PartName="/xl/drawings/_rels/drawing37.xml.rels" ContentType="application/vnd.openxmlformats-package.relationships+xml"/>
  <Override PartName="/xl/drawings/_rels/drawing32.xml.rels" ContentType="application/vnd.openxmlformats-package.relationships+xml"/>
  <Override PartName="/xl/drawings/_rels/drawing21.xml.rels" ContentType="application/vnd.openxmlformats-package.relationships+xml"/>
  <Override PartName="/xl/drawings/_rels/drawing44.xml.rels" ContentType="application/vnd.openxmlformats-package.relationships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6.xml" ContentType="application/vnd.openxmlformats-officedocument.drawing+xml"/>
  <Override PartName="/xl/drawings/drawing1.xml" ContentType="application/vnd.openxmlformats-officedocument.drawing+xml"/>
  <Override PartName="/xl/drawings/drawing30.xml" ContentType="application/vnd.openxmlformats-officedocument.drawing+xml"/>
  <Override PartName="/xl/drawings/drawing36.xml" ContentType="application/vnd.openxmlformats-officedocument.drawing+xml"/>
  <Override PartName="/xl/drawings/drawing32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drawings/drawing33.xml" ContentType="application/vnd.openxmlformats-officedocument.drawing+xml"/>
  <Override PartName="/xl/drawings/drawing40.xml" ContentType="application/vnd.openxmlformats-officedocument.drawing+xml"/>
  <Override PartName="/xl/drawings/drawing9.xml" ContentType="application/vnd.openxmlformats-officedocument.drawing+xml"/>
  <Override PartName="/xl/drawings/drawing35.xml" ContentType="application/vnd.openxmlformats-officedocument.drawing+xml"/>
  <Override PartName="/xl/drawings/drawing11.xml" ContentType="application/vnd.openxmlformats-officedocument.drawing+xml"/>
  <Override PartName="/xl/drawings/drawing42.xml" ContentType="application/vnd.openxmlformats-officedocument.drawing+xml"/>
  <Override PartName="/xl/drawings/drawing16.xml" ContentType="application/vnd.openxmlformats-officedocument.drawing+xml"/>
  <Override PartName="/xl/drawings/drawing27.xml" ContentType="application/vnd.openxmlformats-officedocument.drawing+xml"/>
  <Override PartName="/xl/drawings/drawing31.xml" ContentType="application/vnd.openxmlformats-officedocument.drawing+xml"/>
  <Override PartName="/xl/drawings/drawing21.xml" ContentType="application/vnd.openxmlformats-officedocument.drawing+xml"/>
  <Override PartName="/xl/drawings/drawing20.xml" ContentType="application/vnd.openxmlformats-officedocument.drawing+xml"/>
  <Override PartName="/xl/drawings/drawing15.xml" ContentType="application/vnd.openxmlformats-officedocument.drawing+xml"/>
  <Override PartName="/xl/drawings/drawing34.xml" ContentType="application/vnd.openxmlformats-officedocument.drawing+xml"/>
  <Override PartName="/xl/drawings/drawing44.xml" ContentType="application/vnd.openxmlformats-officedocument.drawing+xml"/>
  <Override PartName="/xl/drawings/drawing3.xml" ContentType="application/vnd.openxmlformats-officedocument.drawing+xml"/>
  <Override PartName="/xl/drawings/drawing43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7.xml" ContentType="application/vnd.openxmlformats-officedocument.drawing+xml"/>
  <Override PartName="/xl/drawings/drawing5.xml" ContentType="application/vnd.openxmlformats-officedocument.drawing+xml"/>
  <Override PartName="/xl/drawings/drawing4.xml" ContentType="application/vnd.openxmlformats-officedocument.drawing+xml"/>
  <Override PartName="/xl/drawings/drawing18.xml" ContentType="application/vnd.openxmlformats-officedocument.drawing+xml"/>
  <Override PartName="/xl/drawings/drawing29.xml" ContentType="application/vnd.openxmlformats-officedocument.drawing+xml"/>
  <Override PartName="/xl/drawings/drawing7.xml" ContentType="application/vnd.openxmlformats-officedocument.drawing+xml"/>
  <Override PartName="/xl/drawings/drawing12.xml" ContentType="application/vnd.openxmlformats-officedocument.drawing+xml"/>
  <Override PartName="/xl/drawings/drawing2.xml" ContentType="application/vnd.openxmlformats-officedocument.drawing+xml"/>
  <Override PartName="/xl/drawings/drawing10.xml" ContentType="application/vnd.openxmlformats-officedocument.drawing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45" activeTab="45"/>
  </bookViews>
  <sheets>
    <sheet name="EQUIPE NILSON MARTINS " sheetId="1" state="hidden" r:id="rId3"/>
    <sheet name="COMPLEMENTO ROSIVALDO " sheetId="2" state="hidden" r:id="rId4"/>
    <sheet name="EQUIPE GILSON ARNON" sheetId="3" state="hidden" r:id="rId5"/>
    <sheet name="Plan3" sheetId="4" state="hidden" r:id="rId6"/>
    <sheet name="DESISTENCIA" sheetId="5" state="hidden" r:id="rId7"/>
    <sheet name="EQUIPE ANTONIO ROBERTO" sheetId="6" state="hidden" r:id="rId8"/>
    <sheet name="EQUIPE MARCIO JUNIOR" sheetId="7" state="hidden" r:id="rId9"/>
    <sheet name="MARCIO DESISTENCIA" sheetId="8" state="hidden" r:id="rId10"/>
    <sheet name="NILSON COMPLEMENTO " sheetId="9" state="hidden" r:id="rId11"/>
    <sheet name="GILSON ARNON COMPLEMENTO" sheetId="10" state="hidden" r:id="rId12"/>
    <sheet name="EQUIPE EDSON SANTOS" sheetId="11" state="hidden" r:id="rId13"/>
    <sheet name="IDENILTON OLIVEIRA" sheetId="12" state="hidden" r:id="rId14"/>
    <sheet name="EQUIPE EVANILSON " sheetId="13" state="hidden" r:id="rId15"/>
    <sheet name="LUIZ CARLOS " sheetId="14" state="hidden" r:id="rId16"/>
    <sheet name="ADAILSON COMPLEMENTO" sheetId="15" state="hidden" r:id="rId17"/>
    <sheet name="JOAO UILLE" sheetId="16" state="hidden" r:id="rId18"/>
    <sheet name="FELIPE" sheetId="17" state="hidden" r:id="rId19"/>
    <sheet name="MARCOS AMARO" sheetId="18" state="hidden" r:id="rId20"/>
    <sheet name="RAIMUNDO NONATO" sheetId="19" state="hidden" r:id="rId21"/>
    <sheet name="LEANDRO SILVA " sheetId="20" state="hidden" r:id="rId22"/>
    <sheet name="ANTONIO NASCIMENTO" sheetId="21" state="hidden" r:id="rId23"/>
    <sheet name="DAYVISSON" sheetId="22" state="hidden" r:id="rId24"/>
    <sheet name="MARCOS CARLOS" sheetId="23" state="hidden" r:id="rId25"/>
    <sheet name="MARCOS AMARO (2)" sheetId="24" state="hidden" r:id="rId26"/>
    <sheet name="MARCOS AMARO EMBARCOU" sheetId="25" state="hidden" r:id="rId27"/>
    <sheet name="JOSE JUNIOR 08.08 " sheetId="26" state="hidden" r:id="rId28"/>
    <sheet name="LUCIANO DOS SANTOS" sheetId="27" state="hidden" r:id="rId29"/>
    <sheet name="JOSE CICERO " sheetId="28" state="hidden" r:id="rId30"/>
    <sheet name="JOSE CICERO  (2)" sheetId="29" state="hidden" r:id="rId31"/>
    <sheet name="LUCIANO DOS SANTOS (2)" sheetId="30" state="hidden" r:id="rId32"/>
    <sheet name="JOSE JUNIOR  RESERVA" sheetId="31" state="hidden" r:id="rId33"/>
    <sheet name="MARCOS AMARO RESERVA" sheetId="32" state="hidden" r:id="rId34"/>
    <sheet name="DAMIAO RAUL" sheetId="33" state="hidden" r:id="rId35"/>
    <sheet name="LUIZ CLAUDIO" sheetId="34" state="hidden" r:id="rId36"/>
    <sheet name="RONNE" sheetId="35" state="hidden" r:id="rId37"/>
    <sheet name="DALMIRO" sheetId="36" state="hidden" r:id="rId38"/>
    <sheet name="DALMIRO (2)" sheetId="37" state="hidden" r:id="rId39"/>
    <sheet name="NILSON COMPLE" sheetId="38" state="hidden" r:id="rId40"/>
    <sheet name="ROSIVALDO COMPL 03.04" sheetId="39" state="hidden" r:id="rId41"/>
    <sheet name="GILSON COMPLEMENTO" sheetId="40" state="hidden" r:id="rId42"/>
    <sheet name="COMPLEMENTO ADAILSON" sheetId="41" state="hidden" r:id="rId43"/>
    <sheet name="AILSON" sheetId="42" state="hidden" r:id="rId44"/>
    <sheet name="DALMARIO COMPLE 08.08" sheetId="43" state="hidden" r:id="rId45"/>
    <sheet name="COMPL FRUTAL 08.08" sheetId="44" state="hidden" r:id="rId46"/>
    <sheet name="JOSE JUNIOR 08.08  RESERVA" sheetId="45" state="hidden" r:id="rId47"/>
    <sheet name="Planilha" sheetId="46" state="visible" r:id="rId48"/>
  </sheets>
  <definedNames>
    <definedName function="false" hidden="true" localSheetId="20" name="_xlnm._FilterDatabase" vbProcedure="false">'ANTONIO NASCIMENTO'!$K$1:$K$43</definedName>
    <definedName function="false" hidden="false" localSheetId="43" name="_xlnm.Print_Area" vbProcedure="false">'COMPL FRUTAL 08.08'!$A$1:$P$11</definedName>
    <definedName function="false" hidden="false" localSheetId="42" name="_xlnm.Print_Area" vbProcedure="false">'DALMARIO COMPLE 08.08'!$A$1:$P$6</definedName>
    <definedName function="false" hidden="false" localSheetId="35" name="_xlnm.Print_Area" vbProcedure="false">DALMIRO!$A$1:$R$39</definedName>
    <definedName function="false" hidden="true" localSheetId="35" name="_xlnm._FilterDatabase" vbProcedure="false">DALMIRO!$L$1:$L$40</definedName>
    <definedName function="false" hidden="false" localSheetId="36" name="_xlnm.Print_Area" vbProcedure="false">'DALMIRO (2)'!$A$1:$Q$53</definedName>
    <definedName function="false" hidden="true" localSheetId="36" name="_xlnm._FilterDatabase" vbProcedure="false">'DALMIRO (2)'!$C$1:$C$54</definedName>
    <definedName function="false" hidden="true" localSheetId="32" name="_xlnm._FilterDatabase" vbProcedure="false">'DAMIAO RAUL'!$K$1:$K$34</definedName>
    <definedName function="false" hidden="false" localSheetId="12" name="_xlnm.Print_Area" vbProcedure="false">'EQUIPE EVANILSON '!$A$1:$O$19</definedName>
    <definedName function="false" hidden="true" localSheetId="2" name="_xlnm._FilterDatabase" vbProcedure="false">'EQUIPE GILSON ARNON'!$Q$1:$Q$32</definedName>
    <definedName function="false" hidden="false" localSheetId="6" name="_xlnm.Print_Area" vbProcedure="false">'EQUIPE MARCIO JUNIOR'!$A$1:$P$42</definedName>
    <definedName function="false" hidden="true" localSheetId="6" name="_xlnm._FilterDatabase" vbProcedure="false">'EQUIPE MARCIO JUNIOR'!$K$1:$K$43</definedName>
    <definedName function="false" hidden="false" localSheetId="0" name="_xlnm.Print_Area" vbProcedure="false">'EQUIPE NILSON MARTINS '!$A$1:$O$38</definedName>
    <definedName function="false" hidden="true" localSheetId="15" name="_xlnm._FilterDatabase" vbProcedure="false">'JOAO UILLE'!$C$1:$C$32</definedName>
    <definedName function="false" hidden="false" localSheetId="27" name="_xlnm.Print_Area" vbProcedure="false">'JOSE CICERO '!$A$1:$P$42</definedName>
    <definedName function="false" hidden="true" localSheetId="27" name="_xlnm._FilterDatabase" vbProcedure="false">'JOSE CICERO '!$A$3:$Q$42</definedName>
    <definedName function="false" hidden="false" localSheetId="28" name="_xlnm.Print_Area" vbProcedure="false">'JOSE CICERO  (2)'!$A$1:$P$45</definedName>
    <definedName function="false" hidden="false" localSheetId="30" name="_xlnm.Print_Area" vbProcedure="false">'JOSE JUNIOR  RESERVA'!$A$1:$P$46</definedName>
    <definedName function="false" hidden="true" localSheetId="30" name="_xlnm._FilterDatabase" vbProcedure="false">'JOSE JUNIOR  RESERVA'!$K$1:$K$28</definedName>
    <definedName function="false" hidden="false" localSheetId="25" name="_xlnm.Print_Area" vbProcedure="false">'JOSE JUNIOR 08.08 '!$A$1:$P$36</definedName>
    <definedName function="false" hidden="true" localSheetId="25" name="_xlnm._FilterDatabase" vbProcedure="false">'JOSE JUNIOR 08.08 '!$K$1:$K$35</definedName>
    <definedName function="false" hidden="false" localSheetId="44" name="_xlnm.Print_Area" vbProcedure="false">'JOSE JUNIOR 08.08  RESERVA'!$A$1:$P$45</definedName>
    <definedName function="false" hidden="true" localSheetId="44" name="_xlnm._FilterDatabase" vbProcedure="false">'JOSE JUNIOR 08.08  RESERVA'!$K$1:$K$27</definedName>
    <definedName function="false" hidden="false" localSheetId="26" name="_xlnm.Print_Area" vbProcedure="false">'LUCIANO DOS SANTOS'!$A$1:$P$44</definedName>
    <definedName function="false" hidden="true" localSheetId="26" name="_xlnm._FilterDatabase" vbProcedure="false">'LUCIANO DOS SANTOS'!$O$1:$O$44</definedName>
    <definedName function="false" hidden="false" localSheetId="29" name="_xlnm.Print_Area" vbProcedure="false">'LUCIANO DOS SANTOS (2)'!$A$1:$P$56</definedName>
    <definedName function="false" hidden="true" localSheetId="29" name="_xlnm._FilterDatabase" vbProcedure="false">'LUCIANO DOS SANTOS (2)'!$K$1:$K$51</definedName>
    <definedName function="false" hidden="true" localSheetId="33" name="_xlnm._FilterDatabase" vbProcedure="false">'LUIZ CLAUDIO'!$K$1:$K$33</definedName>
    <definedName function="false" hidden="false" localSheetId="7" name="_xlnm.Print_Area" vbProcedure="false">'MARCIO DESISTENCIA'!$A$1:$P$53</definedName>
    <definedName function="false" hidden="true" localSheetId="7" name="_xlnm._FilterDatabase" vbProcedure="false">'MARCIO DESISTENCIA'!$C$1:$C$56</definedName>
    <definedName function="false" hidden="false" localSheetId="23" name="_xlnm.Print_Area" vbProcedure="false">'MARCOS AMARO (2)'!$A$1:$P$51</definedName>
    <definedName function="false" hidden="true" localSheetId="23" name="_xlnm._FilterDatabase" vbProcedure="false">'MARCOS AMARO (2)'!$K$1:$K$51</definedName>
    <definedName function="false" hidden="false" localSheetId="24" name="_xlnm.Print_Area" vbProcedure="false">'MARCOS AMARO EMBARCOU'!$A$1:$P$29</definedName>
    <definedName function="false" hidden="true" localSheetId="24" name="_xlnm._FilterDatabase" vbProcedure="false">'MARCOS AMARO EMBARCOU'!$K$1:$K$29</definedName>
    <definedName function="false" hidden="false" localSheetId="34" name="_xlnm.Print_Area" vbProcedure="false">RONNE!$A$1:$Q$24</definedName>
    <definedName function="false" hidden="true" localSheetId="34" name="_xlnm._FilterDatabase" vbProcedure="false">RONNE!$C$1:$C$20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<sst xmlns="http://schemas.openxmlformats.org/spreadsheetml/2006/main" count="10039" uniqueCount="2464">
  <si>
    <t xml:space="preserve">                                                                     RELAÇÃO EMBARQUE  COLABORADORES SAFRA  2024 / 2025 CONDIMINIO PRATA MG</t>
  </si>
  <si>
    <t xml:space="preserve">RF</t>
  </si>
  <si>
    <t xml:space="preserve">NOME</t>
  </si>
  <si>
    <t xml:space="preserve">DATA NASC</t>
  </si>
  <si>
    <t xml:space="preserve">CIDADE EMBARQUE</t>
  </si>
  <si>
    <t xml:space="preserve">ESTADO</t>
  </si>
  <si>
    <t xml:space="preserve">CPF</t>
  </si>
  <si>
    <t xml:space="preserve">RG</t>
  </si>
  <si>
    <t xml:space="preserve">CTPS</t>
  </si>
  <si>
    <t xml:space="preserve">SERIE</t>
  </si>
  <si>
    <t xml:space="preserve">CONTA</t>
  </si>
  <si>
    <t xml:space="preserve">DATA EMBARQUE</t>
  </si>
  <si>
    <t xml:space="preserve">Dt. De Hoje</t>
  </si>
  <si>
    <t xml:space="preserve">IDADE</t>
  </si>
  <si>
    <t xml:space="preserve">E-SOCIAL </t>
  </si>
  <si>
    <t xml:space="preserve">EQUIPE: NILSON MARTINS </t>
  </si>
  <si>
    <t xml:space="preserve">RECEITA</t>
  </si>
  <si>
    <t xml:space="preserve">ANTONIO DVISON DOS SANTOS LIMA</t>
  </si>
  <si>
    <t xml:space="preserve">ITATIRA</t>
  </si>
  <si>
    <t xml:space="preserve">CE</t>
  </si>
  <si>
    <t xml:space="preserve">079.475.103-26</t>
  </si>
  <si>
    <t xml:space="preserve">2016140765-4</t>
  </si>
  <si>
    <t xml:space="preserve">OK</t>
  </si>
  <si>
    <t xml:space="preserve">08 DE FEVEREIRO DE 2025</t>
  </si>
  <si>
    <t xml:space="preserve">ANTONIO FAEU FERREIRA PAIVA </t>
  </si>
  <si>
    <t xml:space="preserve">605.921.593-96</t>
  </si>
  <si>
    <t xml:space="preserve">2007734074-9</t>
  </si>
  <si>
    <t xml:space="preserve">ANTONIO GILSON INACIO DA SILVA </t>
  </si>
  <si>
    <t xml:space="preserve">069.565.293-19</t>
  </si>
  <si>
    <t xml:space="preserve">2008237452-4</t>
  </si>
  <si>
    <t xml:space="preserve">N/OK</t>
  </si>
  <si>
    <t xml:space="preserve">ANTONIO JOSE DOS SANTOS SALES </t>
  </si>
  <si>
    <t xml:space="preserve">605.017.813-58</t>
  </si>
  <si>
    <t xml:space="preserve">2007446421-5</t>
  </si>
  <si>
    <t xml:space="preserve">ANTONIO MAIK SANTOS ALVES </t>
  </si>
  <si>
    <t xml:space="preserve">067.946.303-89</t>
  </si>
  <si>
    <t xml:space="preserve">2007409475-5</t>
  </si>
  <si>
    <t xml:space="preserve">ANTONIO MARIO PAIVA DE SOUSA </t>
  </si>
  <si>
    <t xml:space="preserve">605.707.803-90</t>
  </si>
  <si>
    <t xml:space="preserve">2007728563-2</t>
  </si>
  <si>
    <t xml:space="preserve">ANTONIO SOUSA SILVA </t>
  </si>
  <si>
    <t xml:space="preserve">073.562.703-74</t>
  </si>
  <si>
    <t xml:space="preserve">2008264510-2</t>
  </si>
  <si>
    <t xml:space="preserve">ANTONIO UILA RODRIGUES SILVA </t>
  </si>
  <si>
    <t xml:space="preserve">079.013.363-66</t>
  </si>
  <si>
    <t xml:space="preserve">2016310383-0</t>
  </si>
  <si>
    <t xml:space="preserve">ANTONIO WELLINGTON GOMES DE SOUSA</t>
  </si>
  <si>
    <t xml:space="preserve">075.472.583-95</t>
  </si>
  <si>
    <t xml:space="preserve">2015030469-7</t>
  </si>
  <si>
    <t xml:space="preserve">ARLINDO SOUSA SILVA </t>
  </si>
  <si>
    <t xml:space="preserve">083.259.083-51</t>
  </si>
  <si>
    <t xml:space="preserve">2016082442-1</t>
  </si>
  <si>
    <t xml:space="preserve">CARLOS JANAEL FELIX DOS SANTOS </t>
  </si>
  <si>
    <t xml:space="preserve">070.655.383-70</t>
  </si>
  <si>
    <t xml:space="preserve">2008302027-0</t>
  </si>
  <si>
    <t xml:space="preserve">FERNANDO ARAUJO AGOSTINHO </t>
  </si>
  <si>
    <t xml:space="preserve">065.039.953-69</t>
  </si>
  <si>
    <t xml:space="preserve">2007525436-5</t>
  </si>
  <si>
    <t xml:space="preserve">FILISBERTO DE MELO RIBEIRO </t>
  </si>
  <si>
    <t xml:space="preserve">077.748.093-09</t>
  </si>
  <si>
    <t xml:space="preserve">2008359095-6</t>
  </si>
  <si>
    <t xml:space="preserve">FRANCISCO DANILO DA SILVA LIMA </t>
  </si>
  <si>
    <t xml:space="preserve">047.537.213-10</t>
  </si>
  <si>
    <t xml:space="preserve">2007148512-5</t>
  </si>
  <si>
    <t xml:space="preserve">FRANCISCO GOMES DE PAIVA FILHO </t>
  </si>
  <si>
    <t xml:space="preserve">064.496.503-70</t>
  </si>
  <si>
    <t xml:space="preserve">64138623-0</t>
  </si>
  <si>
    <t xml:space="preserve">FRANCISCO NONATO DA SILVA</t>
  </si>
  <si>
    <t xml:space="preserve">119.042.644-76</t>
  </si>
  <si>
    <t xml:space="preserve">FRANCISCO ROMUALDO ALVES SILVEIRA</t>
  </si>
  <si>
    <t xml:space="preserve">086.650.003-05</t>
  </si>
  <si>
    <t xml:space="preserve">2017161361-3</t>
  </si>
  <si>
    <t xml:space="preserve">FRANCISCO SERGIO SANTOS ARAUJO</t>
  </si>
  <si>
    <t xml:space="preserve">089.484.143-21</t>
  </si>
  <si>
    <t xml:space="preserve">2017111615-6</t>
  </si>
  <si>
    <t xml:space="preserve">GABRIEL MESQUITA FERREIRA</t>
  </si>
  <si>
    <t xml:space="preserve">091.604.153-04</t>
  </si>
  <si>
    <t xml:space="preserve">2017239821-0</t>
  </si>
  <si>
    <t xml:space="preserve">JONAS DOS SANTOS ALVES </t>
  </si>
  <si>
    <t xml:space="preserve">032.303.213-32</t>
  </si>
  <si>
    <t xml:space="preserve">52.358.146-4</t>
  </si>
  <si>
    <t xml:space="preserve">JOSE HENRIQUE DE SOUZA MARTINS </t>
  </si>
  <si>
    <t xml:space="preserve">633.568.603-13</t>
  </si>
  <si>
    <t xml:space="preserve">200809715152-8</t>
  </si>
  <si>
    <t xml:space="preserve">LUCAS AGOSTINHO SANTOS </t>
  </si>
  <si>
    <t xml:space="preserve">085.484.973-43</t>
  </si>
  <si>
    <t xml:space="preserve">2016322350-0</t>
  </si>
  <si>
    <t xml:space="preserve">PEDRO LUCAS SERAFIM FERREIRA </t>
  </si>
  <si>
    <t xml:space="preserve">086.634.793-36</t>
  </si>
  <si>
    <t xml:space="preserve">2017228739-6</t>
  </si>
  <si>
    <t xml:space="preserve">WANDERLANIO RODRIGUES DELMONDES </t>
  </si>
  <si>
    <t xml:space="preserve">094.899.614-50</t>
  </si>
  <si>
    <t xml:space="preserve">IZAEL LIMA RODRIGUES </t>
  </si>
  <si>
    <t xml:space="preserve">087.859.213-00</t>
  </si>
  <si>
    <t xml:space="preserve">2017275089-4</t>
  </si>
  <si>
    <t xml:space="preserve">ROBSON LIMA RODRIGUES </t>
  </si>
  <si>
    <t xml:space="preserve">092.396.153-42</t>
  </si>
  <si>
    <t xml:space="preserve">2017275147-5</t>
  </si>
  <si>
    <t xml:space="preserve">VALMIR FIRMINO DE CASTRO JUNIOR </t>
  </si>
  <si>
    <t xml:space="preserve">088.022.793-14</t>
  </si>
  <si>
    <t xml:space="preserve">2007880361-0</t>
  </si>
  <si>
    <t xml:space="preserve">DIEGO SILVA RODRIGUES </t>
  </si>
  <si>
    <t xml:space="preserve">496.449.888-33</t>
  </si>
  <si>
    <t xml:space="preserve">JOEL BARBOSA DE SOUSA OLIVEIRA</t>
  </si>
  <si>
    <t xml:space="preserve">LAGOA DO MATO</t>
  </si>
  <si>
    <t xml:space="preserve">083.926.793-26</t>
  </si>
  <si>
    <t xml:space="preserve">2015017336-3</t>
  </si>
  <si>
    <t xml:space="preserve">EMERSON HENRIQUE SILVA </t>
  </si>
  <si>
    <t xml:space="preserve">127.549.414-52</t>
  </si>
  <si>
    <t xml:space="preserve">NILSON MARTINS DA SILVA </t>
  </si>
  <si>
    <t xml:space="preserve">032.478.733-25</t>
  </si>
  <si>
    <t xml:space="preserve">200400521476-2</t>
  </si>
  <si>
    <t xml:space="preserve">SANDRO FERREIRA HENRIQUE </t>
  </si>
  <si>
    <t xml:space="preserve">091.380.343-01</t>
  </si>
  <si>
    <t xml:space="preserve">2023141665-7</t>
  </si>
  <si>
    <t xml:space="preserve">ANTONIO CARLOS SABINO DE MORAIS</t>
  </si>
  <si>
    <t xml:space="preserve">074.600.813-96</t>
  </si>
  <si>
    <t xml:space="preserve">2007732699-1</t>
  </si>
  <si>
    <t xml:space="preserve">ILDO DO NASCIMENTO SOUSA</t>
  </si>
  <si>
    <t xml:space="preserve">035.695.383-11</t>
  </si>
  <si>
    <t xml:space="preserve">200401409092-2</t>
  </si>
  <si>
    <t xml:space="preserve">INICIOU DIA </t>
  </si>
  <si>
    <t xml:space="preserve">EQUIPE: ROSIVALDO COMPLEMENTO </t>
  </si>
  <si>
    <t xml:space="preserve"> CICERO CLAUDIO DA SILVA MELO</t>
  </si>
  <si>
    <t xml:space="preserve">BARBALHA </t>
  </si>
  <si>
    <t xml:space="preserve">638.784.133-00</t>
  </si>
  <si>
    <t xml:space="preserve">2022270095-0</t>
  </si>
  <si>
    <t xml:space="preserve">03 DE FEVEREIRO DE 2025</t>
  </si>
  <si>
    <t xml:space="preserve">FRANCISCO VIEIRA CAETANO </t>
  </si>
  <si>
    <t xml:space="preserve">MILAGRES </t>
  </si>
  <si>
    <t xml:space="preserve">060.641.643-95</t>
  </si>
  <si>
    <t xml:space="preserve">2007498103-4</t>
  </si>
  <si>
    <t xml:space="preserve">LUIZ CARLOS PESSOA </t>
  </si>
  <si>
    <t xml:space="preserve">AURORA </t>
  </si>
  <si>
    <t xml:space="preserve">088.207.946-83</t>
  </si>
  <si>
    <t xml:space="preserve">60938873-3</t>
  </si>
  <si>
    <t xml:space="preserve">MAICOM GROCENIO DE OLIVEIRA</t>
  </si>
  <si>
    <t xml:space="preserve">JACOBINA</t>
  </si>
  <si>
    <t xml:space="preserve">BA</t>
  </si>
  <si>
    <t xml:space="preserve">119.533.125-86</t>
  </si>
  <si>
    <t xml:space="preserve">23860361-03</t>
  </si>
  <si>
    <t xml:space="preserve">10 DE FEVEREIRO DE 2025</t>
  </si>
  <si>
    <t xml:space="preserve">ERNANDES MANOEL SILVA ALVES</t>
  </si>
  <si>
    <t xml:space="preserve">126.332.945-45</t>
  </si>
  <si>
    <t xml:space="preserve">126332945-45</t>
  </si>
  <si>
    <t xml:space="preserve">NIVALDO DOS SANTOS</t>
  </si>
  <si>
    <t xml:space="preserve">MIRANGABA</t>
  </si>
  <si>
    <t xml:space="preserve">063.515.135-96</t>
  </si>
  <si>
    <t xml:space="preserve">16246128-30</t>
  </si>
  <si>
    <t xml:space="preserve">MARCUS VINICIUS NASCIMENTO DOS SANTOS </t>
  </si>
  <si>
    <t xml:space="preserve">SALGUEIRO</t>
  </si>
  <si>
    <t xml:space="preserve">PE</t>
  </si>
  <si>
    <t xml:space="preserve">710.521.084-23</t>
  </si>
  <si>
    <t xml:space="preserve">13 DE MARÇO DE 2025</t>
  </si>
  <si>
    <t xml:space="preserve">GEIZON BRUNO PEREIRA DE LIMA</t>
  </si>
  <si>
    <t xml:space="preserve">121.494.064-11</t>
  </si>
  <si>
    <t xml:space="preserve">ISAAC DJEMERSON DE OLIVEIRA</t>
  </si>
  <si>
    <t xml:space="preserve">090.042.794-90</t>
  </si>
  <si>
    <t xml:space="preserve">RIVALDO DE FRANÇA QUIXABEIRA</t>
  </si>
  <si>
    <t xml:space="preserve">POÇOS DAS TRINCHEIRAS</t>
  </si>
  <si>
    <t xml:space="preserve">AL</t>
  </si>
  <si>
    <t xml:space="preserve">118.481.324-84</t>
  </si>
  <si>
    <t xml:space="preserve">3912287-5</t>
  </si>
  <si>
    <t xml:space="preserve">ADRIANO LEAO DE SOUSA</t>
  </si>
  <si>
    <t xml:space="preserve">CAPITAO POCO</t>
  </si>
  <si>
    <t xml:space="preserve">PA</t>
  </si>
  <si>
    <t xml:space="preserve">538.135.882-20</t>
  </si>
  <si>
    <t xml:space="preserve">PIS</t>
  </si>
  <si>
    <t xml:space="preserve">EQUIPE: GILSON ARNON</t>
  </si>
  <si>
    <t xml:space="preserve">ADEMILSON DO NASCIMENTO DA SILVA</t>
  </si>
  <si>
    <t xml:space="preserve">MANARI</t>
  </si>
  <si>
    <t xml:space="preserve">147.942.224-08</t>
  </si>
  <si>
    <t xml:space="preserve">19 DE FEVEREIRO DE 2025</t>
  </si>
  <si>
    <t xml:space="preserve">212.749.487-21</t>
  </si>
  <si>
    <t xml:space="preserve">ADENILDO LEANDRO DE OLIVEIRA</t>
  </si>
  <si>
    <t xml:space="preserve">122.693.114-69</t>
  </si>
  <si>
    <t xml:space="preserve">161.529.305-03</t>
  </si>
  <si>
    <t xml:space="preserve">ANDRESON JOSE DA SILVA</t>
  </si>
  <si>
    <t xml:space="preserve">127.601.004-48</t>
  </si>
  <si>
    <t xml:space="preserve">212.286.641-04</t>
  </si>
  <si>
    <t xml:space="preserve">CARLOS MANOEL DOS SANTOS</t>
  </si>
  <si>
    <t xml:space="preserve">117.694.434-79</t>
  </si>
  <si>
    <t xml:space="preserve">164.995.405-45</t>
  </si>
  <si>
    <t xml:space="preserve">CELIO ELIAS DE MELO</t>
  </si>
  <si>
    <t xml:space="preserve">123.903.534-95</t>
  </si>
  <si>
    <t xml:space="preserve">165.678.466-08</t>
  </si>
  <si>
    <t xml:space="preserve">CICERO MATHEUS DA SILVA SANTOS</t>
  </si>
  <si>
    <t xml:space="preserve">150.541.924-76</t>
  </si>
  <si>
    <t xml:space="preserve">166.909.231-27</t>
  </si>
  <si>
    <t xml:space="preserve">CICERO NILDO SANTOS DA SILVA</t>
  </si>
  <si>
    <t xml:space="preserve">126.120.264-36</t>
  </si>
  <si>
    <t xml:space="preserve">126120264-36</t>
  </si>
  <si>
    <t xml:space="preserve">165.678.944-91</t>
  </si>
  <si>
    <t xml:space="preserve">EDIMILSON DA SILVA SOUZA</t>
  </si>
  <si>
    <t xml:space="preserve">127.425.744-17</t>
  </si>
  <si>
    <t xml:space="preserve">212.286.894-41</t>
  </si>
  <si>
    <t xml:space="preserve">ESEQUIAS FRANCA CRISTO</t>
  </si>
  <si>
    <t xml:space="preserve">053.018.604-70</t>
  </si>
  <si>
    <t xml:space="preserve">162.812.853-37</t>
  </si>
  <si>
    <t xml:space="preserve">EZEQUIEL FELIX PEREIRA DA SILVA</t>
  </si>
  <si>
    <t xml:space="preserve">129.805.084-70</t>
  </si>
  <si>
    <t xml:space="preserve">162.885.390-83</t>
  </si>
  <si>
    <t xml:space="preserve">EZILDO EMILIANO DA SILVA</t>
  </si>
  <si>
    <t xml:space="preserve">106.897.224-60</t>
  </si>
  <si>
    <t xml:space="preserve">3392685-9</t>
  </si>
  <si>
    <t xml:space="preserve">161.920.524-93</t>
  </si>
  <si>
    <t xml:space="preserve">FABIANO MARCOS DE OLIVEIRA SANTOS</t>
  </si>
  <si>
    <t xml:space="preserve">175.737.094-39</t>
  </si>
  <si>
    <t xml:space="preserve">160.982.566-25</t>
  </si>
  <si>
    <t xml:space="preserve">GILSON ARNON DE LIMA</t>
  </si>
  <si>
    <t xml:space="preserve">092.650.534-37</t>
  </si>
  <si>
    <t xml:space="preserve">162.050.147-19</t>
  </si>
  <si>
    <t xml:space="preserve">GUSTAVO JOSE DA SILVA ROCHA</t>
  </si>
  <si>
    <t xml:space="preserve">158.416.354-25</t>
  </si>
  <si>
    <t xml:space="preserve">236.617.929-93</t>
  </si>
  <si>
    <t xml:space="preserve">JORGE DAMIAO DA SILVA</t>
  </si>
  <si>
    <t xml:space="preserve">127.788.324-67</t>
  </si>
  <si>
    <t xml:space="preserve">162.181.717-61</t>
  </si>
  <si>
    <t xml:space="preserve">JOSE ILTON DA SILVA MANDU</t>
  </si>
  <si>
    <t xml:space="preserve">133.397.084-60</t>
  </si>
  <si>
    <t xml:space="preserve">212.940.346-79</t>
  </si>
  <si>
    <t xml:space="preserve">JOSE VANDELSON DOS SANTOS</t>
  </si>
  <si>
    <t xml:space="preserve">128.233.124-80</t>
  </si>
  <si>
    <t xml:space="preserve">162.227.381-26</t>
  </si>
  <si>
    <t xml:space="preserve">JOSENILDO JOSE DO NASCIMENTO DA SILVA</t>
  </si>
  <si>
    <t xml:space="preserve">156.468.704-02</t>
  </si>
  <si>
    <t xml:space="preserve">162.813.012-94</t>
  </si>
  <si>
    <t xml:space="preserve">JOSINALDO NILDO DA SILVA</t>
  </si>
  <si>
    <t xml:space="preserve">144.914.234-66</t>
  </si>
  <si>
    <t xml:space="preserve">162.814.641-42</t>
  </si>
  <si>
    <t xml:space="preserve">JOSIVALDO JOSEILDO DA SILVA</t>
  </si>
  <si>
    <t xml:space="preserve">136.578.624-20</t>
  </si>
  <si>
    <t xml:space="preserve">220.229.777-84</t>
  </si>
  <si>
    <t xml:space="preserve">MANSUELIO JORGE DA SILVA </t>
  </si>
  <si>
    <t xml:space="preserve">104.363.194-11</t>
  </si>
  <si>
    <t xml:space="preserve">163.792.812-32</t>
  </si>
  <si>
    <t xml:space="preserve">MARAILSON GOMES TORRES</t>
  </si>
  <si>
    <t xml:space="preserve">173.858.924-26</t>
  </si>
  <si>
    <t xml:space="preserve">165.017.958-51</t>
  </si>
  <si>
    <t xml:space="preserve">RODRIGO GOMES DA SILVA</t>
  </si>
  <si>
    <t xml:space="preserve">155.065.054-85</t>
  </si>
  <si>
    <t xml:space="preserve">166.485.679-89</t>
  </si>
  <si>
    <t xml:space="preserve">RONE GENIVALDO BEZERRA</t>
  </si>
  <si>
    <t xml:space="preserve">134.355.554-08</t>
  </si>
  <si>
    <t xml:space="preserve">271.693.264-72</t>
  </si>
  <si>
    <t xml:space="preserve">SILVANIO GOMES SILVA</t>
  </si>
  <si>
    <t xml:space="preserve">122.505.964-09</t>
  </si>
  <si>
    <t xml:space="preserve">122505964-09</t>
  </si>
  <si>
    <t xml:space="preserve">165.752.357-52</t>
  </si>
  <si>
    <t xml:space="preserve">TIAGO DA SILVA</t>
  </si>
  <si>
    <t xml:space="preserve">170.507.694-79</t>
  </si>
  <si>
    <t xml:space="preserve">269.841.055-20</t>
  </si>
  <si>
    <t xml:space="preserve">CICERO DO NASCIMENTO </t>
  </si>
  <si>
    <t xml:space="preserve">128.526.834-23</t>
  </si>
  <si>
    <t xml:space="preserve">128526834-23</t>
  </si>
  <si>
    <t xml:space="preserve">166.742.929-40</t>
  </si>
  <si>
    <t xml:space="preserve">ESEQUIAS  FRANÇA CRISTO</t>
  </si>
  <si>
    <t xml:space="preserve">SILVANO GOMES SILVA</t>
  </si>
  <si>
    <t xml:space="preserve">EQUIPE: </t>
  </si>
  <si>
    <t xml:space="preserve">ANTONIO ROGERIO SAMPAIO PEREIRA</t>
  </si>
  <si>
    <t xml:space="preserve">604.639.723-50</t>
  </si>
  <si>
    <t xml:space="preserve">2007491039-0</t>
  </si>
  <si>
    <t xml:space="preserve">GIVALDO JOSE DA SILVA</t>
  </si>
  <si>
    <t xml:space="preserve">173.617.564-50</t>
  </si>
  <si>
    <t xml:space="preserve">JOAO PAULO GOMES DE MACEDO</t>
  </si>
  <si>
    <t xml:space="preserve">613.428.543-90</t>
  </si>
  <si>
    <t xml:space="preserve">2008473941-4</t>
  </si>
  <si>
    <t xml:space="preserve">JAELSON JAIME DA SILVA</t>
  </si>
  <si>
    <t xml:space="preserve">112.975.894-08</t>
  </si>
  <si>
    <t xml:space="preserve">JOSE ERILSON ARAUJO CHAGAS</t>
  </si>
  <si>
    <t xml:space="preserve">028.993.503-23</t>
  </si>
  <si>
    <t xml:space="preserve">200501504635-6</t>
  </si>
  <si>
    <t xml:space="preserve">001-0</t>
  </si>
  <si>
    <t xml:space="preserve">LEONARDO JOSE DA SILVA</t>
  </si>
  <si>
    <t xml:space="preserve">127.600.674-83</t>
  </si>
  <si>
    <t xml:space="preserve">ROGERIO DE AMORIM ALVES </t>
  </si>
  <si>
    <t xml:space="preserve">967.242.503-15</t>
  </si>
  <si>
    <t xml:space="preserve">VANDELMO DOS SANTOS</t>
  </si>
  <si>
    <t xml:space="preserve">132.771.414-03</t>
  </si>
  <si>
    <t xml:space="preserve">ANTONIO ORENILDO SOARES MENDONCA </t>
  </si>
  <si>
    <t xml:space="preserve">TIMBOTEUA VELHO</t>
  </si>
  <si>
    <t xml:space="preserve">029.848.672-54</t>
  </si>
  <si>
    <t xml:space="preserve">03 DE MARÇO DE 2025</t>
  </si>
  <si>
    <t xml:space="preserve">VERIFICAR</t>
  </si>
  <si>
    <t xml:space="preserve">N PODE</t>
  </si>
  <si>
    <t xml:space="preserve">EDINELSON PINTO DE OLIVEIRA</t>
  </si>
  <si>
    <t xml:space="preserve">088.962.222-14</t>
  </si>
  <si>
    <t xml:space="preserve">FELIPE</t>
  </si>
  <si>
    <t xml:space="preserve">MARCOS PAULO PEREIRA LOPES</t>
  </si>
  <si>
    <t xml:space="preserve">081.328.482-17</t>
  </si>
  <si>
    <t xml:space="preserve">N/PODE</t>
  </si>
  <si>
    <t xml:space="preserve">AECIO JOSE DA SILVA</t>
  </si>
  <si>
    <t xml:space="preserve">066.679.314-01</t>
  </si>
  <si>
    <t xml:space="preserve">FRANCISCO ANTONIO  MARQUES DA SILVA</t>
  </si>
  <si>
    <t xml:space="preserve">067.189.863-99</t>
  </si>
  <si>
    <t xml:space="preserve">2008170129-7</t>
  </si>
  <si>
    <t xml:space="preserve">A DEFINIR</t>
  </si>
  <si>
    <t xml:space="preserve">RAIMUNDO NONATO</t>
  </si>
  <si>
    <t xml:space="preserve">AGENILSON LOPES TAVARES DE MORAES</t>
  </si>
  <si>
    <t xml:space="preserve">029.620.412-99</t>
  </si>
  <si>
    <t xml:space="preserve">02 DE MAIO DE 2025</t>
  </si>
  <si>
    <t xml:space="preserve">MARCOS CARLOS</t>
  </si>
  <si>
    <t xml:space="preserve">JOAO HENRIQUE GALDINO DA SILVA</t>
  </si>
  <si>
    <t xml:space="preserve">115.060.233-39</t>
  </si>
  <si>
    <t xml:space="preserve">DAMIAO</t>
  </si>
  <si>
    <t xml:space="preserve">CAIO WESLEY LOPES DE SOUSA</t>
  </si>
  <si>
    <t xml:space="preserve">078.485.633-83</t>
  </si>
  <si>
    <t xml:space="preserve">2016181174-9</t>
  </si>
  <si>
    <t xml:space="preserve">LUIZ CLAUDIO</t>
  </si>
  <si>
    <t xml:space="preserve">DJAVAM SILVA BRITO</t>
  </si>
  <si>
    <t xml:space="preserve">075.064.423-02</t>
  </si>
  <si>
    <t xml:space="preserve">2008954567-7</t>
  </si>
  <si>
    <t xml:space="preserve">20 DE MAIO DE 2025</t>
  </si>
  <si>
    <t xml:space="preserve">LUCELIO SOUZA ALVES</t>
  </si>
  <si>
    <t xml:space="preserve">140.277.414-12</t>
  </si>
  <si>
    <t xml:space="preserve">MACIEL FERREIRA DA SILVA</t>
  </si>
  <si>
    <t xml:space="preserve">045.302.824-14</t>
  </si>
  <si>
    <t xml:space="preserve">RODRIGO CAMPOS LIMA</t>
  </si>
  <si>
    <t xml:space="preserve">069.274.723-04</t>
  </si>
  <si>
    <t xml:space="preserve">2008336268-6</t>
  </si>
  <si>
    <t xml:space="preserve">ERIVAN RODRIGUES DE FARIAS QUINQUINO</t>
  </si>
  <si>
    <t xml:space="preserve">155.015.484-29</t>
  </si>
  <si>
    <t xml:space="preserve">02 DE JUNHO DE 2025</t>
  </si>
  <si>
    <t xml:space="preserve">RONNE</t>
  </si>
  <si>
    <t xml:space="preserve">EQUIPE: ANTONIO ROBERTO</t>
  </si>
  <si>
    <t xml:space="preserve">ALEXANDRE PEREIRA DA SILVA</t>
  </si>
  <si>
    <t xml:space="preserve">110.381.273-43</t>
  </si>
  <si>
    <t xml:space="preserve">2016075493-8</t>
  </si>
  <si>
    <t xml:space="preserve">ANTONIO BRUNO DE SOUSA SILVA</t>
  </si>
  <si>
    <t xml:space="preserve">094.198.123-16</t>
  </si>
  <si>
    <t xml:space="preserve">2018077807-7</t>
  </si>
  <si>
    <t xml:space="preserve">ANTONIO CARLOS GOMES AMORIM</t>
  </si>
  <si>
    <t xml:space="preserve">101.123.703-22</t>
  </si>
  <si>
    <t xml:space="preserve">2017178961-4</t>
  </si>
  <si>
    <t xml:space="preserve">ANTONIO CARLINHOS MACEDO FERREIRA</t>
  </si>
  <si>
    <t xml:space="preserve">091.613-913-10</t>
  </si>
  <si>
    <t xml:space="preserve">2018006194-6</t>
  </si>
  <si>
    <t xml:space="preserve">ANTONIO CHARLES SOUSA SILVA</t>
  </si>
  <si>
    <t xml:space="preserve">087.715.613-15</t>
  </si>
  <si>
    <t xml:space="preserve">087715613-15</t>
  </si>
  <si>
    <t xml:space="preserve">ANTONIO KALVE NERO SOUSA</t>
  </si>
  <si>
    <t xml:space="preserve">548.266.738-33</t>
  </si>
  <si>
    <t xml:space="preserve">62337755-X</t>
  </si>
  <si>
    <t xml:space="preserve">ANTONIO ROBERTO MACIEL DE OLIVEIRA</t>
  </si>
  <si>
    <t xml:space="preserve">605.715.493-22</t>
  </si>
  <si>
    <t xml:space="preserve">2007725243-2</t>
  </si>
  <si>
    <t xml:space="preserve">ATENOR DE SOUSA TAVARES </t>
  </si>
  <si>
    <t xml:space="preserve">083.846.713-03</t>
  </si>
  <si>
    <t xml:space="preserve">2007882213-5</t>
  </si>
  <si>
    <t xml:space="preserve">CARLOS ANDRE NERO DE SOUSA</t>
  </si>
  <si>
    <t xml:space="preserve">034.340.643-89</t>
  </si>
  <si>
    <t xml:space="preserve">2008505993-0</t>
  </si>
  <si>
    <t xml:space="preserve">CLAUDIANO ALEXANDRE</t>
  </si>
  <si>
    <t xml:space="preserve">943.091.243-72</t>
  </si>
  <si>
    <t xml:space="preserve">943091243-72</t>
  </si>
  <si>
    <t xml:space="preserve">ERIVALDO OLIVEIRA BENTO</t>
  </si>
  <si>
    <t xml:space="preserve">441.642.738-79</t>
  </si>
  <si>
    <t xml:space="preserve">2023061279-7</t>
  </si>
  <si>
    <t xml:space="preserve">FAUSTIANO PEREIRA DA CUNHA</t>
  </si>
  <si>
    <t xml:space="preserve">068.411.583-26</t>
  </si>
  <si>
    <t xml:space="preserve">2007074855-6</t>
  </si>
  <si>
    <t xml:space="preserve">FRANCISCO ANTONIO SILVA OLIVEIRA</t>
  </si>
  <si>
    <t xml:space="preserve">063.421.553-13</t>
  </si>
  <si>
    <t xml:space="preserve">FRANCISCO ERLINHO MACEDO E SILVA </t>
  </si>
  <si>
    <t xml:space="preserve">088.000.553-03</t>
  </si>
  <si>
    <t xml:space="preserve">2016267660-8</t>
  </si>
  <si>
    <t xml:space="preserve">FRANCISCO EUDES DE SOUSA SILVA</t>
  </si>
  <si>
    <t xml:space="preserve">054.736.223-48</t>
  </si>
  <si>
    <t xml:space="preserve">207148525-7</t>
  </si>
  <si>
    <t xml:space="preserve">003-0</t>
  </si>
  <si>
    <t xml:space="preserve">FRANCISCO EVALDO MONTEIRO HENRIQUE </t>
  </si>
  <si>
    <t xml:space="preserve">605.926.673-83</t>
  </si>
  <si>
    <t xml:space="preserve">2007726352-3</t>
  </si>
  <si>
    <t xml:space="preserve">FRANCISCO JAIME SOUSA SILVA</t>
  </si>
  <si>
    <t xml:space="preserve">070.617.703-76</t>
  </si>
  <si>
    <t xml:space="preserve">2008327677-1</t>
  </si>
  <si>
    <t xml:space="preserve">FRANCISCO JANAEL DAMIAO DOS SANTOS</t>
  </si>
  <si>
    <t xml:space="preserve">091.885.853-44</t>
  </si>
  <si>
    <t xml:space="preserve">091885853-44</t>
  </si>
  <si>
    <t xml:space="preserve">FRANCISCO MACEDO FERREIRA</t>
  </si>
  <si>
    <t xml:space="preserve">046.600.883-08</t>
  </si>
  <si>
    <t xml:space="preserve">200401508977-4</t>
  </si>
  <si>
    <t xml:space="preserve">GABRIEL SEVERINO DE SOUSA</t>
  </si>
  <si>
    <t xml:space="preserve">094.012.493-93</t>
  </si>
  <si>
    <t xml:space="preserve">2018028050-8</t>
  </si>
  <si>
    <t xml:space="preserve">ilegivel conta</t>
  </si>
  <si>
    <t xml:space="preserve">ISRAEL DA SILVA ALVES </t>
  </si>
  <si>
    <t xml:space="preserve">613.009.433-78</t>
  </si>
  <si>
    <t xml:space="preserve">2008382856-1</t>
  </si>
  <si>
    <t xml:space="preserve">JERRI ADRIANO OLIVEIRA DA CUNHA</t>
  </si>
  <si>
    <t xml:space="preserve">911.302.203-20</t>
  </si>
  <si>
    <t xml:space="preserve">3286530-98</t>
  </si>
  <si>
    <t xml:space="preserve">JOSE ANTONIO MARIANO NETO DE SOUSA</t>
  </si>
  <si>
    <t xml:space="preserve">115.367.833-07</t>
  </si>
  <si>
    <t xml:space="preserve">2020125458-6</t>
  </si>
  <si>
    <t xml:space="preserve">JOSE BENICIO MONTEIRO HENRIQUE </t>
  </si>
  <si>
    <t xml:space="preserve">624.416.303-69</t>
  </si>
  <si>
    <t xml:space="preserve">200300512619-9</t>
  </si>
  <si>
    <t xml:space="preserve">JOSE PEREIRA DA CUNHA </t>
  </si>
  <si>
    <t xml:space="preserve">093.315.933-17</t>
  </si>
  <si>
    <t xml:space="preserve">2016075429-6</t>
  </si>
  <si>
    <t xml:space="preserve">JUCELINO MACEDO FERREIRA</t>
  </si>
  <si>
    <t xml:space="preserve">024.511.733-43</t>
  </si>
  <si>
    <t xml:space="preserve">200300512564-8</t>
  </si>
  <si>
    <t xml:space="preserve">LEONARDO DE SOUSA SILVA</t>
  </si>
  <si>
    <t xml:space="preserve">111.502.803-01</t>
  </si>
  <si>
    <t xml:space="preserve">2016075495-4</t>
  </si>
  <si>
    <t xml:space="preserve">MATEUS DE SOUSA SILVA </t>
  </si>
  <si>
    <t xml:space="preserve">639.081.463-13</t>
  </si>
  <si>
    <t xml:space="preserve">202318232-5</t>
  </si>
  <si>
    <t xml:space="preserve">PAULO RICARDO NASCIMENTO DA SILVA</t>
  </si>
  <si>
    <t xml:space="preserve">129.506.723-45</t>
  </si>
  <si>
    <t xml:space="preserve">2022136500-6</t>
  </si>
  <si>
    <t xml:space="preserve">RICARDO FELIX DA CUNHA </t>
  </si>
  <si>
    <t xml:space="preserve">090.622.293-10</t>
  </si>
  <si>
    <t xml:space="preserve">2016075445-8</t>
  </si>
  <si>
    <t xml:space="preserve">RUAN RODRIGUES DA SILVA </t>
  </si>
  <si>
    <t xml:space="preserve">025.139.513-87</t>
  </si>
  <si>
    <t xml:space="preserve">2016075476-8</t>
  </si>
  <si>
    <t xml:space="preserve">SYDNEY CUNHA PEREIRA</t>
  </si>
  <si>
    <t xml:space="preserve">068.462.753-12</t>
  </si>
  <si>
    <t xml:space="preserve">068462753-12</t>
  </si>
  <si>
    <t xml:space="preserve">WILLIAN PEREIRA DA SILVA</t>
  </si>
  <si>
    <t xml:space="preserve">110.381.313-75</t>
  </si>
  <si>
    <t xml:space="preserve">2016075494-6</t>
  </si>
  <si>
    <t xml:space="preserve">EQUIPE: MARCIO JUNIOR </t>
  </si>
  <si>
    <t xml:space="preserve">BRUNO WESLEY DE ALQUINO</t>
  </si>
  <si>
    <t xml:space="preserve">BRAGANÇA</t>
  </si>
  <si>
    <t xml:space="preserve">704.646.402-29</t>
  </si>
  <si>
    <t xml:space="preserve">CLAUDINEY DOS SANTOS MONTEIRO</t>
  </si>
  <si>
    <t xml:space="preserve">095.608.112-66</t>
  </si>
  <si>
    <t xml:space="preserve">DANIEL SANTOS DE SOUZA</t>
  </si>
  <si>
    <t xml:space="preserve">054.454.942-25</t>
  </si>
  <si>
    <t xml:space="preserve">DANIELSON DE OLIVEIRA DOS REIS </t>
  </si>
  <si>
    <t xml:space="preserve">091.540.392-74</t>
  </si>
  <si>
    <t xml:space="preserve">DENILSON DA SILVA GONÇALVES </t>
  </si>
  <si>
    <t xml:space="preserve">712.476.062-36</t>
  </si>
  <si>
    <t xml:space="preserve">EDSON BRITO PADILHA</t>
  </si>
  <si>
    <t xml:space="preserve">442.769.152-87</t>
  </si>
  <si>
    <t xml:space="preserve">EDIELSON OLIVEIRA DOS REIS</t>
  </si>
  <si>
    <t xml:space="preserve">089.240.442-65</t>
  </si>
  <si>
    <t xml:space="preserve">EDIONE SOUZA MEDEIROS</t>
  </si>
  <si>
    <t xml:space="preserve">701.653.722-65</t>
  </si>
  <si>
    <t xml:space="preserve">ELIEL CARLOS FERREIRA MENDES</t>
  </si>
  <si>
    <t xml:space="preserve">012.034.342-86</t>
  </si>
  <si>
    <t xml:space="preserve">EZEQUIEL MENDES</t>
  </si>
  <si>
    <t xml:space="preserve">709.474.662-82</t>
  </si>
  <si>
    <t xml:space="preserve">ELTON RENAN FONSECA DA SILVA </t>
  </si>
  <si>
    <t xml:space="preserve">080.193.332-31</t>
  </si>
  <si>
    <t xml:space="preserve">DOUGLAS NUNES SOEIRO</t>
  </si>
  <si>
    <t xml:space="preserve">083.827.552-40</t>
  </si>
  <si>
    <t xml:space="preserve">FRANCISCO ALAN DA SILVA LIMA</t>
  </si>
  <si>
    <t xml:space="preserve">CAPITAO POÇO</t>
  </si>
  <si>
    <t xml:space="preserve">090.291.702-12</t>
  </si>
  <si>
    <t xml:space="preserve">FRANCISCO JACKSON DA SILVA</t>
  </si>
  <si>
    <t xml:space="preserve">035.705.802-02</t>
  </si>
  <si>
    <t xml:space="preserve">GEILSON MENDES MIRANDA</t>
  </si>
  <si>
    <t xml:space="preserve">712.364.252-00</t>
  </si>
  <si>
    <t xml:space="preserve">GILSON LOPES ALEIXO </t>
  </si>
  <si>
    <t xml:space="preserve">076.120.432-62</t>
  </si>
  <si>
    <t xml:space="preserve">GILVANE LOPES DA SILVA</t>
  </si>
  <si>
    <t xml:space="preserve">025.627.722-29</t>
  </si>
  <si>
    <t xml:space="preserve">GLEIVERSON PRUDENTE BARBOSA</t>
  </si>
  <si>
    <t xml:space="preserve">038.549.832-20</t>
  </si>
  <si>
    <t xml:space="preserve">125.809.112-10</t>
  </si>
  <si>
    <t xml:space="preserve">HEMERSON CARLOS FERREIRA MENDES</t>
  </si>
  <si>
    <t xml:space="preserve">709.460.292-88</t>
  </si>
  <si>
    <t xml:space="preserve">JACKSON SOUSA SANTOS</t>
  </si>
  <si>
    <t xml:space="preserve">049.160.562-56</t>
  </si>
  <si>
    <t xml:space="preserve">JHONATA NUNES DE OLIVEIRA</t>
  </si>
  <si>
    <t xml:space="preserve">062.630.092-41</t>
  </si>
  <si>
    <t xml:space="preserve">JOERCO MORAES OLIVEIRA</t>
  </si>
  <si>
    <t xml:space="preserve">704.191.682-06</t>
  </si>
  <si>
    <t xml:space="preserve">JONES SILVA SANTOS</t>
  </si>
  <si>
    <t xml:space="preserve">047.426.792-02</t>
  </si>
  <si>
    <t xml:space="preserve">JOSE ERIVALDO FERREIRA RODRIGUES</t>
  </si>
  <si>
    <t xml:space="preserve">069.771.672-46</t>
  </si>
  <si>
    <t xml:space="preserve">JOSIMAR MORAES DE OLIVEIRA </t>
  </si>
  <si>
    <t xml:space="preserve">GARRAFAO DO NORTE</t>
  </si>
  <si>
    <t xml:space="preserve">096.746.572-90</t>
  </si>
  <si>
    <t xml:space="preserve">LUIZ CLAUDIO DE SOUZA SILVA</t>
  </si>
  <si>
    <t xml:space="preserve">891.382.602-04</t>
  </si>
  <si>
    <t xml:space="preserve">MARCIO JUNIOR SANTA BRIGIDA CORDEIRO</t>
  </si>
  <si>
    <t xml:space="preserve">604.461.372-00</t>
  </si>
  <si>
    <t xml:space="preserve">MARCOS ANDRE DE SOUSA RIBEIRO</t>
  </si>
  <si>
    <t xml:space="preserve">102.647.391-83</t>
  </si>
  <si>
    <t xml:space="preserve">MARCOS CARLOS SILVA SOARES</t>
  </si>
  <si>
    <t xml:space="preserve">039.141.952-82</t>
  </si>
  <si>
    <t xml:space="preserve">MARLISON JUNIOR FERREIRA MENDES</t>
  </si>
  <si>
    <t xml:space="preserve">007.227.902-87</t>
  </si>
  <si>
    <t xml:space="preserve">IVONALDO DA SILVA</t>
  </si>
  <si>
    <t xml:space="preserve">IRITUIA</t>
  </si>
  <si>
    <t xml:space="preserve">056.921.383-52</t>
  </si>
  <si>
    <t xml:space="preserve">NAEMERSON ARAUJO DA SILVA </t>
  </si>
  <si>
    <t xml:space="preserve">052.410.232-59</t>
  </si>
  <si>
    <t xml:space="preserve">NARLESON ARAUJO DA SILVA</t>
  </si>
  <si>
    <t xml:space="preserve">059.724.102-30</t>
  </si>
  <si>
    <t xml:space="preserve">RUAN DE OLIVEIRA</t>
  </si>
  <si>
    <t xml:space="preserve">055.501.052-09</t>
  </si>
  <si>
    <t xml:space="preserve">SAMUEL BARBOSA TEIXEIRA</t>
  </si>
  <si>
    <t xml:space="preserve">709.537.812-67</t>
  </si>
  <si>
    <t xml:space="preserve">VAGNER VITOR LOPES SILVA</t>
  </si>
  <si>
    <t xml:space="preserve">063.488.562-67</t>
  </si>
  <si>
    <t xml:space="preserve">WELITHON AVIS DE OLIVEIRA</t>
  </si>
  <si>
    <t xml:space="preserve">068.432.092-46</t>
  </si>
  <si>
    <t xml:space="preserve">ANTONIO ENILSON TORQUATO PASSOS</t>
  </si>
  <si>
    <t xml:space="preserve">TIMBOTEUA VELHA</t>
  </si>
  <si>
    <t xml:space="preserve">044.044.582-58</t>
  </si>
  <si>
    <t xml:space="preserve">ANTONIO JOSE LINO PINHEIRO</t>
  </si>
  <si>
    <t xml:space="preserve">702.222.752-78</t>
  </si>
  <si>
    <t xml:space="preserve">AUGUSTINHO DA SILVA E SILVA</t>
  </si>
  <si>
    <t xml:space="preserve">030.354.582-86</t>
  </si>
  <si>
    <t xml:space="preserve">ALAN ARAUJO DO ROSARIO</t>
  </si>
  <si>
    <t xml:space="preserve">093.578.512-40</t>
  </si>
  <si>
    <t xml:space="preserve">CLEBSON ERPIDIO TAVARES DA SILVA</t>
  </si>
  <si>
    <t xml:space="preserve">709.456.942-45</t>
  </si>
  <si>
    <t xml:space="preserve">EDELSON CHAVES DE OLIVEIRA</t>
  </si>
  <si>
    <t xml:space="preserve">101.555.432-61</t>
  </si>
  <si>
    <t xml:space="preserve">EDIVALDO DA SILVA SILVA</t>
  </si>
  <si>
    <t xml:space="preserve">082.806.942-50</t>
  </si>
  <si>
    <t xml:space="preserve">ESEQUIEL MENDES</t>
  </si>
  <si>
    <t xml:space="preserve">ITAMAR FONSECA DAS MERCES</t>
  </si>
  <si>
    <t xml:space="preserve">630.412.352-34</t>
  </si>
  <si>
    <t xml:space="preserve">JOSE DE RIBAMAR SOUSA FILHO</t>
  </si>
  <si>
    <t xml:space="preserve">612.366.193-07</t>
  </si>
  <si>
    <t xml:space="preserve">046431092012-0</t>
  </si>
  <si>
    <t xml:space="preserve">KEVIN OLIVEIRA DE SOUZA</t>
  </si>
  <si>
    <t xml:space="preserve">089.908.502-40</t>
  </si>
  <si>
    <t xml:space="preserve">MAURICIO JUNIOR MONTEIRO CORDEIRO</t>
  </si>
  <si>
    <t xml:space="preserve">051.898.852-08</t>
  </si>
  <si>
    <t xml:space="preserve">NARLERSON ARAUJO DA SILVA</t>
  </si>
  <si>
    <t xml:space="preserve">PAULO DENILSON COSTA DOS SANTOS</t>
  </si>
  <si>
    <t xml:space="preserve">612.870.453-08</t>
  </si>
  <si>
    <t xml:space="preserve">EDIVAN LEAO DE OLIVEIRA</t>
  </si>
  <si>
    <t xml:space="preserve">020.014.642-40</t>
  </si>
  <si>
    <t xml:space="preserve"> </t>
  </si>
  <si>
    <t xml:space="preserve">EQUIPE: NILSON COMPLEMENTO</t>
  </si>
  <si>
    <t xml:space="preserve">JOSE AIRTON GOMES AGOSTINHO</t>
  </si>
  <si>
    <t xml:space="preserve">CANINDE</t>
  </si>
  <si>
    <t xml:space="preserve">636.629.493-34</t>
  </si>
  <si>
    <t xml:space="preserve">2023060380-1</t>
  </si>
  <si>
    <t xml:space="preserve">FRANCISCO ESMAEL FERREIRA PAIVA</t>
  </si>
  <si>
    <t xml:space="preserve">605.934.043-19</t>
  </si>
  <si>
    <t xml:space="preserve">2007730810-1</t>
  </si>
  <si>
    <t xml:space="preserve">EQUIPE: GILSON ARNON COMPLEMENTO</t>
  </si>
  <si>
    <t xml:space="preserve">VANDELMO DOS SANTOS </t>
  </si>
  <si>
    <t xml:space="preserve">ITAIBA</t>
  </si>
  <si>
    <t xml:space="preserve">ANTONIO AIRTON EVANGELISTA</t>
  </si>
  <si>
    <t xml:space="preserve">058.025.513-13</t>
  </si>
  <si>
    <t xml:space="preserve">2007469906-1</t>
  </si>
  <si>
    <t xml:space="preserve">FRANCISCO EDSON GOMES MARREIRO</t>
  </si>
  <si>
    <t xml:space="preserve">240.177.778-48</t>
  </si>
  <si>
    <t xml:space="preserve">63388547-2</t>
  </si>
  <si>
    <t xml:space="preserve">FRANCISCO CELIO GOMES DE SOUSA</t>
  </si>
  <si>
    <t xml:space="preserve">636.800.763-04</t>
  </si>
  <si>
    <t xml:space="preserve">2015191110-4</t>
  </si>
  <si>
    <t xml:space="preserve">FRANCISCO LEANDRO FERREIRA DE SOUSA</t>
  </si>
  <si>
    <t xml:space="preserve">076.572.493-66</t>
  </si>
  <si>
    <t xml:space="preserve">07657243-66</t>
  </si>
  <si>
    <t xml:space="preserve">LEONARDO RODRIGUES DE SOUSA</t>
  </si>
  <si>
    <t xml:space="preserve">121.447.099-07</t>
  </si>
  <si>
    <t xml:space="preserve">2023158305-7</t>
  </si>
  <si>
    <t xml:space="preserve">CARLOS FRANCISCO DA SILVA</t>
  </si>
  <si>
    <t xml:space="preserve">713.114.684-63</t>
  </si>
  <si>
    <t xml:space="preserve">LUAN JOAO DA SILVA LIMA</t>
  </si>
  <si>
    <t xml:space="preserve">136.898.934-96</t>
  </si>
  <si>
    <t xml:space="preserve">EQUIPE: EDSON SANTOS</t>
  </si>
  <si>
    <t xml:space="preserve">ADALBERTO SILVA DA CONCEIÇAO</t>
  </si>
  <si>
    <t xml:space="preserve">471.952.902-04</t>
  </si>
  <si>
    <t xml:space="preserve">ADRIANO PEREIRA DOS SANTOS</t>
  </si>
  <si>
    <t xml:space="preserve">060.252.113-02</t>
  </si>
  <si>
    <t xml:space="preserve">AGNALDO SILVA FERREIRA</t>
  </si>
  <si>
    <t xml:space="preserve">037.397.642-95</t>
  </si>
  <si>
    <t xml:space="preserve">ANDERSON RENAN ALVES CORREA</t>
  </si>
  <si>
    <t xml:space="preserve">078.697.612-81</t>
  </si>
  <si>
    <t xml:space="preserve">ANTONIO EDSON ROSARIO DA SILVA</t>
  </si>
  <si>
    <t xml:space="preserve">101.866.782-23</t>
  </si>
  <si>
    <t xml:space="preserve">ANTONIO ROGERIO BRAZ DA SILVA</t>
  </si>
  <si>
    <t xml:space="preserve">108.838.882-54</t>
  </si>
  <si>
    <t xml:space="preserve">BENEDITO SANTOS DA LUZ</t>
  </si>
  <si>
    <t xml:space="preserve">688.525.502-59</t>
  </si>
  <si>
    <t xml:space="preserve">CAIO RUAN FERREIRA DA SILVA</t>
  </si>
  <si>
    <t xml:space="preserve">095.741.842-69</t>
  </si>
  <si>
    <t xml:space="preserve">CASSIO FERREIRA DA SILVA </t>
  </si>
  <si>
    <t xml:space="preserve">713.310.972-74</t>
  </si>
  <si>
    <t xml:space="preserve">CALEBI DA SILVA RODRIGIES </t>
  </si>
  <si>
    <t xml:space="preserve">014.813.732-69</t>
  </si>
  <si>
    <t xml:space="preserve">CIDIVALDO DA COSTA BRITO</t>
  </si>
  <si>
    <t xml:space="preserve">010.431.802-30</t>
  </si>
  <si>
    <t xml:space="preserve">DHIONE VITOR COSTA PEREIRA</t>
  </si>
  <si>
    <t xml:space="preserve">079.367.492-17</t>
  </si>
  <si>
    <t xml:space="preserve">EDIVAR DA SILVA SANTOS</t>
  </si>
  <si>
    <t xml:space="preserve">082.817.632-99</t>
  </si>
  <si>
    <t xml:space="preserve">EDIL MATOS GONCALVES</t>
  </si>
  <si>
    <t xml:space="preserve">027.415.512-51</t>
  </si>
  <si>
    <t xml:space="preserve">EDSON SAMPAIO DA SILVA</t>
  </si>
  <si>
    <t xml:space="preserve">783.233.392-87</t>
  </si>
  <si>
    <t xml:space="preserve">EDSON SANTOS DE ATHAYDE</t>
  </si>
  <si>
    <t xml:space="preserve">013.375.752-83</t>
  </si>
  <si>
    <t xml:space="preserve">EDUARDO BORGES DE BRITO</t>
  </si>
  <si>
    <t xml:space="preserve">092.522.042-61</t>
  </si>
  <si>
    <t xml:space="preserve">ERINALDO DA SILVA FERREIRA</t>
  </si>
  <si>
    <t xml:space="preserve">094.368.172-31</t>
  </si>
  <si>
    <t xml:space="preserve">FELIPE DA SILVA LIMA</t>
  </si>
  <si>
    <t xml:space="preserve">098.055.142-00</t>
  </si>
  <si>
    <t xml:space="preserve">FRANCERLANGESON ARAUJO SANTOS</t>
  </si>
  <si>
    <t xml:space="preserve">079.225.982-38</t>
  </si>
  <si>
    <t xml:space="preserve">GEOVANE DOS SANTOS COELHO</t>
  </si>
  <si>
    <t xml:space="preserve">088.940.652-94</t>
  </si>
  <si>
    <t xml:space="preserve">GEILSON DA LUZ FARIAS</t>
  </si>
  <si>
    <t xml:space="preserve">070.176.302-70</t>
  </si>
  <si>
    <t xml:space="preserve">JAISON DAVID CANTANHEDE DE LIMA</t>
  </si>
  <si>
    <t xml:space="preserve">077.461.812-44</t>
  </si>
  <si>
    <t xml:space="preserve">JEFFERSON DIAS FIGUEIREDO</t>
  </si>
  <si>
    <t xml:space="preserve">238.077.428.59</t>
  </si>
  <si>
    <t xml:space="preserve">JEREMIAS TRINTADE NASCIMENTO</t>
  </si>
  <si>
    <t xml:space="preserve">707.266.682-65</t>
  </si>
  <si>
    <t xml:space="preserve">JORGE EMERSON DOS SANTOS CRUZ</t>
  </si>
  <si>
    <t xml:space="preserve">089.005.692-79</t>
  </si>
  <si>
    <t xml:space="preserve">089005692-79</t>
  </si>
  <si>
    <t xml:space="preserve">JONATAN RIBEIRO DA LUZ</t>
  </si>
  <si>
    <t xml:space="preserve">711.665.092-06</t>
  </si>
  <si>
    <t xml:space="preserve">JOSIVALDO RIBEIRO DA LUZ</t>
  </si>
  <si>
    <t xml:space="preserve">710.477.212-01</t>
  </si>
  <si>
    <t xml:space="preserve">JOSE GENILDO COELHO MOREIRA</t>
  </si>
  <si>
    <t xml:space="preserve">053.177.512-76</t>
  </si>
  <si>
    <t xml:space="preserve">MANOEL ALMEIDA DE OLIVEIRA</t>
  </si>
  <si>
    <t xml:space="preserve">807.060.102-72</t>
  </si>
  <si>
    <t xml:space="preserve">MAURICIO NASCIMENTO DE SOUSA</t>
  </si>
  <si>
    <t xml:space="preserve">977.597.322-87</t>
  </si>
  <si>
    <t xml:space="preserve">NEDIL MATOS GONCALVES</t>
  </si>
  <si>
    <t xml:space="preserve">712.109.342-13</t>
  </si>
  <si>
    <t xml:space="preserve">RAILSON LUZ REIS </t>
  </si>
  <si>
    <t xml:space="preserve">110.121.352-33</t>
  </si>
  <si>
    <t xml:space="preserve">RAFAEL LUZ DA SILVA</t>
  </si>
  <si>
    <t xml:space="preserve">095.074.302-02</t>
  </si>
  <si>
    <t xml:space="preserve">RODRIGO SOUSA LUZ</t>
  </si>
  <si>
    <t xml:space="preserve">092.589.742-63</t>
  </si>
  <si>
    <t xml:space="preserve">SERGIO ALENCAR DA SILVA</t>
  </si>
  <si>
    <t xml:space="preserve">054.746.642-06</t>
  </si>
  <si>
    <t xml:space="preserve">EQUIPE: IDENILTON OLIVEIRA</t>
  </si>
  <si>
    <t xml:space="preserve">ANTONIO ALISSON RODRIGUES DE FREITAS </t>
  </si>
  <si>
    <t xml:space="preserve">SANTA QUITERIA</t>
  </si>
  <si>
    <t xml:space="preserve">099.596.463-78</t>
  </si>
  <si>
    <t xml:space="preserve">2008722502-0</t>
  </si>
  <si>
    <t xml:space="preserve">ANTONIO RODRIGUES MEDEIROS </t>
  </si>
  <si>
    <t xml:space="preserve">020.637.983-89</t>
  </si>
  <si>
    <t xml:space="preserve">57672074-4</t>
  </si>
  <si>
    <t xml:space="preserve">ANTONIO DARDIE SOARES PEREIRA</t>
  </si>
  <si>
    <t xml:space="preserve">BOA VIAGEM</t>
  </si>
  <si>
    <t xml:space="preserve">105.430.033-02</t>
  </si>
  <si>
    <t xml:space="preserve">2018086337-6</t>
  </si>
  <si>
    <t xml:space="preserve">ANTONIO BRUNO CASTRO FELIX</t>
  </si>
  <si>
    <t xml:space="preserve">MADALENA</t>
  </si>
  <si>
    <t xml:space="preserve">075.014.443-23</t>
  </si>
  <si>
    <t xml:space="preserve">2008731918-1</t>
  </si>
  <si>
    <t xml:space="preserve">BRUNO ALMEIDA SILVA</t>
  </si>
  <si>
    <t xml:space="preserve">078.116.353-64</t>
  </si>
  <si>
    <t xml:space="preserve">2007817788-4</t>
  </si>
  <si>
    <t xml:space="preserve">CARLOS WALISON PEREIRA DO NASCIMENTO </t>
  </si>
  <si>
    <t xml:space="preserve">096.528.373-93</t>
  </si>
  <si>
    <t xml:space="preserve">2007096717-7</t>
  </si>
  <si>
    <t xml:space="preserve">CRISTIANO SILVA DOS SANTOS</t>
  </si>
  <si>
    <t xml:space="preserve">624.389.153-40</t>
  </si>
  <si>
    <t xml:space="preserve">200201511634-1</t>
  </si>
  <si>
    <t xml:space="preserve">FRANCISCO MATHEUS DOS SANTOS CRUZ</t>
  </si>
  <si>
    <t xml:space="preserve">077.517.183-23</t>
  </si>
  <si>
    <t xml:space="preserve">2019082778-0</t>
  </si>
  <si>
    <t xml:space="preserve">FRANCISCO WESLEY BORGES DA SILVA</t>
  </si>
  <si>
    <t xml:space="preserve">075.860.383-50</t>
  </si>
  <si>
    <t xml:space="preserve">2015029509-4</t>
  </si>
  <si>
    <t xml:space="preserve">FRANCISCO JOSE LIMA DA SILVA</t>
  </si>
  <si>
    <t xml:space="preserve">604.667.363-12</t>
  </si>
  <si>
    <t xml:space="preserve">2007493903-8</t>
  </si>
  <si>
    <t xml:space="preserve">FRANCISCO ALEF OLIVEIRA SOUSA</t>
  </si>
  <si>
    <t xml:space="preserve">055.269.203-48</t>
  </si>
  <si>
    <t xml:space="preserve">IDENILTON OLIVEIRA DA SILVA</t>
  </si>
  <si>
    <t xml:space="preserve">071.340.643-79</t>
  </si>
  <si>
    <t xml:space="preserve">2007089161-8</t>
  </si>
  <si>
    <t xml:space="preserve">JADERSON RIBEIRO DOS SANTOS</t>
  </si>
  <si>
    <t xml:space="preserve">107.337.943-43</t>
  </si>
  <si>
    <t xml:space="preserve">2019160159-9</t>
  </si>
  <si>
    <t xml:space="preserve">JANAILSON OLIVEIRA DA SILVA</t>
  </si>
  <si>
    <t xml:space="preserve">ITATIRA(LAGOA DO MATO)</t>
  </si>
  <si>
    <t xml:space="preserve">099.925.763-32</t>
  </si>
  <si>
    <t xml:space="preserve">2017175239-7</t>
  </si>
  <si>
    <t xml:space="preserve">JEREMIAS SOUSA ARAUJO</t>
  </si>
  <si>
    <t xml:space="preserve">084.206.953-43</t>
  </si>
  <si>
    <t xml:space="preserve">2008830543-5</t>
  </si>
  <si>
    <t xml:space="preserve">JOSEFA SOUSA ARAUJO</t>
  </si>
  <si>
    <t xml:space="preserve">094.485.223-80</t>
  </si>
  <si>
    <t xml:space="preserve">2018077805-0</t>
  </si>
  <si>
    <t xml:space="preserve">JOABI SOUSA ARAUJO</t>
  </si>
  <si>
    <t xml:space="preserve">094.485.053-70</t>
  </si>
  <si>
    <t xml:space="preserve">2018104370-4</t>
  </si>
  <si>
    <t xml:space="preserve">JOAO VICTOR MEDEIROS QUEIROZ</t>
  </si>
  <si>
    <t xml:space="preserve">112.955.183-09</t>
  </si>
  <si>
    <t xml:space="preserve">2007068792-1</t>
  </si>
  <si>
    <t xml:space="preserve">JOSE EDNILSON DE OLIVEIRA </t>
  </si>
  <si>
    <t xml:space="preserve">046.207.113-81</t>
  </si>
  <si>
    <t xml:space="preserve">2007019801-7</t>
  </si>
  <si>
    <t xml:space="preserve">RONALDO NOGUEIRA DE SENA</t>
  </si>
  <si>
    <t xml:space="preserve">081.726.303-95</t>
  </si>
  <si>
    <t xml:space="preserve">200809804188-2</t>
  </si>
  <si>
    <t xml:space="preserve">EQUIPE: EVANILSON</t>
  </si>
  <si>
    <t xml:space="preserve">ANTONIO ARTENHO DA CRUZ</t>
  </si>
  <si>
    <t xml:space="preserve">041.792.718-50</t>
  </si>
  <si>
    <t xml:space="preserve">2018303231-9</t>
  </si>
  <si>
    <t xml:space="preserve">ANTONIO CARLOS SOUSA SILVA</t>
  </si>
  <si>
    <t xml:space="preserve">625.549.503-50</t>
  </si>
  <si>
    <t xml:space="preserve">2016235201-2</t>
  </si>
  <si>
    <t xml:space="preserve">ANTONIO HELDO DA SILVA VICENTE </t>
  </si>
  <si>
    <t xml:space="preserve">062.113.263-27</t>
  </si>
  <si>
    <t xml:space="preserve">2007715034-6</t>
  </si>
  <si>
    <t xml:space="preserve">ANTONIO MIKAEL CARDOSO DOS SANTOS</t>
  </si>
  <si>
    <t xml:space="preserve">637.883.033-95</t>
  </si>
  <si>
    <t xml:space="preserve">637883033-95</t>
  </si>
  <si>
    <t xml:space="preserve">ANTONIO RAIMUNDO MATOS DOS SANTOS</t>
  </si>
  <si>
    <t xml:space="preserve">026.424.283-11</t>
  </si>
  <si>
    <t xml:space="preserve">68042211-0</t>
  </si>
  <si>
    <t xml:space="preserve">EVANILSON MARTINS DA SILVA</t>
  </si>
  <si>
    <t xml:space="preserve">065.289.413-51</t>
  </si>
  <si>
    <t xml:space="preserve">2008070677-5</t>
  </si>
  <si>
    <t xml:space="preserve">FABIO FERREIRA DA CRUZ</t>
  </si>
  <si>
    <t xml:space="preserve">620.266.243-30</t>
  </si>
  <si>
    <t xml:space="preserve">2008921936-2</t>
  </si>
  <si>
    <t xml:space="preserve">FRANCISCO JANIEL DA SILVA DE SOUSA</t>
  </si>
  <si>
    <t xml:space="preserve">099.047.993-50</t>
  </si>
  <si>
    <t xml:space="preserve">2018277474-5</t>
  </si>
  <si>
    <t xml:space="preserve">JOSE ORLEANDO SILVESTRE BRASILINO</t>
  </si>
  <si>
    <t xml:space="preserve">069.936.983-58</t>
  </si>
  <si>
    <t xml:space="preserve">2008333493-3</t>
  </si>
  <si>
    <t xml:space="preserve">JULIO CESAR DEMETRIO CARDOSO </t>
  </si>
  <si>
    <t xml:space="preserve">122.199.453-08</t>
  </si>
  <si>
    <t xml:space="preserve">2022038231-4</t>
  </si>
  <si>
    <t xml:space="preserve">LAERCIO DE ALMEIDA DO NASCIMENTO </t>
  </si>
  <si>
    <t xml:space="preserve">073.811.683-16</t>
  </si>
  <si>
    <t xml:space="preserve">2008733247-1</t>
  </si>
  <si>
    <t xml:space="preserve">LOURENCIO FERREIRA DA SILVA NETO</t>
  </si>
  <si>
    <t xml:space="preserve">087.546.873-06</t>
  </si>
  <si>
    <t xml:space="preserve">200809715018-1</t>
  </si>
  <si>
    <t xml:space="preserve">LUIZ DOS SANTOS ALVES</t>
  </si>
  <si>
    <t xml:space="preserve">612.439.983-00</t>
  </si>
  <si>
    <t xml:space="preserve">2008288163-9</t>
  </si>
  <si>
    <t xml:space="preserve">MANOEL MATIAS DE MACEDO</t>
  </si>
  <si>
    <t xml:space="preserve">075.988.437-40</t>
  </si>
  <si>
    <t xml:space="preserve">21105825-0</t>
  </si>
  <si>
    <t xml:space="preserve">1-0</t>
  </si>
  <si>
    <t xml:space="preserve">PEDRO LUIS RODRIGUES DO NASCIMENTO</t>
  </si>
  <si>
    <t xml:space="preserve">069.251.443-00</t>
  </si>
  <si>
    <t xml:space="preserve">069251443-00</t>
  </si>
  <si>
    <t xml:space="preserve">EQUIPE: LUIZ CARLOS DA SILVA</t>
  </si>
  <si>
    <t xml:space="preserve">BETO LUIS FERNANDES SOARES</t>
  </si>
  <si>
    <t xml:space="preserve">CANGUARETAMA</t>
  </si>
  <si>
    <t xml:space="preserve">RN</t>
  </si>
  <si>
    <t xml:space="preserve">708.360.944-68</t>
  </si>
  <si>
    <t xml:space="preserve">708360944-68</t>
  </si>
  <si>
    <t xml:space="preserve">20 DE MARÇO DE 2025</t>
  </si>
  <si>
    <t xml:space="preserve">CARLOS DIEGO DOS SANTOS ARAUJO</t>
  </si>
  <si>
    <t xml:space="preserve">091.114.464-12</t>
  </si>
  <si>
    <t xml:space="preserve">CASSIANO DIONISIO DA SILVA</t>
  </si>
  <si>
    <t xml:space="preserve">115.881.354-62</t>
  </si>
  <si>
    <t xml:space="preserve">DENILSON GALDINO DA SILVA</t>
  </si>
  <si>
    <t xml:space="preserve">713.355.944-77</t>
  </si>
  <si>
    <t xml:space="preserve">EDINALDO VICENTE DA SILVA</t>
  </si>
  <si>
    <t xml:space="preserve">136.661.894-74</t>
  </si>
  <si>
    <t xml:space="preserve">EMANOEL RICARDO DA SILVA FELISBERTO</t>
  </si>
  <si>
    <t xml:space="preserve">131.247.964-70</t>
  </si>
  <si>
    <t xml:space="preserve">EMERSON VIRGILIO DIOGO</t>
  </si>
  <si>
    <t xml:space="preserve">052.698.554-29</t>
  </si>
  <si>
    <t xml:space="preserve">ERICLEITON DE LIMA SILVA</t>
  </si>
  <si>
    <t xml:space="preserve">151.987.424-30</t>
  </si>
  <si>
    <t xml:space="preserve">EVERALDO NOEL VIRGINIO VIEGAS</t>
  </si>
  <si>
    <t xml:space="preserve">MATARACA</t>
  </si>
  <si>
    <t xml:space="preserve">PB</t>
  </si>
  <si>
    <t xml:space="preserve">145.239.284-60</t>
  </si>
  <si>
    <t xml:space="preserve">145239284-60</t>
  </si>
  <si>
    <t xml:space="preserve">FABIO JUNIOR DUARTE</t>
  </si>
  <si>
    <t xml:space="preserve">061.260.444-60</t>
  </si>
  <si>
    <t xml:space="preserve">FRANCISCO FERREIRA DA SILVA</t>
  </si>
  <si>
    <t xml:space="preserve">058.233.064-58</t>
  </si>
  <si>
    <t xml:space="preserve">GEORGE PEREIRA DE SOUZA</t>
  </si>
  <si>
    <t xml:space="preserve">036.632.024-61</t>
  </si>
  <si>
    <t xml:space="preserve">GILVAN SABINO DOS SANTOS</t>
  </si>
  <si>
    <t xml:space="preserve">033.992.624-42</t>
  </si>
  <si>
    <t xml:space="preserve">GIVANALDO BELARMINO DO NASCIMENTO</t>
  </si>
  <si>
    <t xml:space="preserve">047.301.814-41</t>
  </si>
  <si>
    <t xml:space="preserve">HENRIQUE ALVES FERREIRA</t>
  </si>
  <si>
    <t xml:space="preserve">172.616.374-16</t>
  </si>
  <si>
    <t xml:space="preserve">IELDO DE OLIVEIRA DA SILVA</t>
  </si>
  <si>
    <t xml:space="preserve">MAMANGUAPE</t>
  </si>
  <si>
    <t xml:space="preserve">174.013.334-06</t>
  </si>
  <si>
    <t xml:space="preserve">JOAO BATISTA GOMES DE OLIVEIRA</t>
  </si>
  <si>
    <t xml:space="preserve">073.612.484-54</t>
  </si>
  <si>
    <t xml:space="preserve">JOAO EVANGELISTA FLORENCIO DE PAIVA</t>
  </si>
  <si>
    <t xml:space="preserve">049.906.244-24</t>
  </si>
  <si>
    <t xml:space="preserve">JOSE CARLOS DE ANDRADE </t>
  </si>
  <si>
    <t xml:space="preserve">057.758.904-00</t>
  </si>
  <si>
    <t xml:space="preserve">JOSE DARTAN LOPES DA SILVA</t>
  </si>
  <si>
    <t xml:space="preserve">125.527.644-44</t>
  </si>
  <si>
    <t xml:space="preserve">JOSE FERNANDO DA SILVA VIRGINIO</t>
  </si>
  <si>
    <t xml:space="preserve">121.431.344-28</t>
  </si>
  <si>
    <t xml:space="preserve">JOSE FRANCISCO ALVES LIRA</t>
  </si>
  <si>
    <t xml:space="preserve">089.659.214-65</t>
  </si>
  <si>
    <t xml:space="preserve">JOSE WALISOM DIONIZIO ALVES</t>
  </si>
  <si>
    <t xml:space="preserve">144.482.374-43</t>
  </si>
  <si>
    <t xml:space="preserve">JOSE WALLENY DA SILVA</t>
  </si>
  <si>
    <t xml:space="preserve">713.942.314-82</t>
  </si>
  <si>
    <t xml:space="preserve">JOSENILDO GOMES DA SILVA</t>
  </si>
  <si>
    <t xml:space="preserve">063.168.374-70</t>
  </si>
  <si>
    <t xml:space="preserve">LEANDRO SOARES DA SILVA</t>
  </si>
  <si>
    <t xml:space="preserve">059.893.084-18</t>
  </si>
  <si>
    <t xml:space="preserve">59893084-18</t>
  </si>
  <si>
    <t xml:space="preserve">LIERDISON RAIMUNDO LOPES DA SILVA</t>
  </si>
  <si>
    <t xml:space="preserve">142.609.414-02</t>
  </si>
  <si>
    <t xml:space="preserve">142609414-02</t>
  </si>
  <si>
    <t xml:space="preserve">LUCAS ALVES FERREIRA</t>
  </si>
  <si>
    <t xml:space="preserve">174.051.414-98</t>
  </si>
  <si>
    <t xml:space="preserve">LUCIANO PAULO DA SILVA</t>
  </si>
  <si>
    <t xml:space="preserve">704.630.594-33</t>
  </si>
  <si>
    <t xml:space="preserve">LUIZ CARLOS DA SILVA</t>
  </si>
  <si>
    <t xml:space="preserve">110.241.904-47</t>
  </si>
  <si>
    <t xml:space="preserve">MACIEL VINDOURA DA SILVA</t>
  </si>
  <si>
    <t xml:space="preserve">057.907.564-84</t>
  </si>
  <si>
    <t xml:space="preserve">057907564-84</t>
  </si>
  <si>
    <t xml:space="preserve">RAMOM DIAS DA SILVA</t>
  </si>
  <si>
    <t xml:space="preserve">099.812.454-02</t>
  </si>
  <si>
    <t xml:space="preserve">RICARDO FELISBERTO DIAS</t>
  </si>
  <si>
    <t xml:space="preserve">031.606.814-40</t>
  </si>
  <si>
    <t xml:space="preserve">RUDRINEIS SILVA MENEZES</t>
  </si>
  <si>
    <t xml:space="preserve">113.568.514-28</t>
  </si>
  <si>
    <t xml:space="preserve">SEVERINO DUARTE DO NASCIMENTO </t>
  </si>
  <si>
    <t xml:space="preserve">012.747.934-16</t>
  </si>
  <si>
    <t xml:space="preserve">THIAGO MIGUEL ALVES</t>
  </si>
  <si>
    <t xml:space="preserve">098.978.714-11</t>
  </si>
  <si>
    <t xml:space="preserve">WANDERSON DA SILVA FELISBERTO</t>
  </si>
  <si>
    <t xml:space="preserve">132.787.654-00</t>
  </si>
  <si>
    <t xml:space="preserve">132787654-00</t>
  </si>
  <si>
    <t xml:space="preserve">WELISON ALVES DE LIRA</t>
  </si>
  <si>
    <t xml:space="preserve">115.232.914-60</t>
  </si>
  <si>
    <t xml:space="preserve">EQUIPE: ADAILSON COMPLEMENTO</t>
  </si>
  <si>
    <t xml:space="preserve">ALBERDAN VIANA DO NASCIMENTO </t>
  </si>
  <si>
    <t xml:space="preserve">SANTA OURI</t>
  </si>
  <si>
    <t xml:space="preserve">071.091.873-90</t>
  </si>
  <si>
    <t xml:space="preserve">200609715098-0</t>
  </si>
  <si>
    <t xml:space="preserve">EQUIPE: JOAO UILLE</t>
  </si>
  <si>
    <t xml:space="preserve">ADENIR RODRIGUES DA SILVA</t>
  </si>
  <si>
    <t xml:space="preserve">RIACHO DE SANTANA</t>
  </si>
  <si>
    <t xml:space="preserve">752.719.235-68</t>
  </si>
  <si>
    <t xml:space="preserve">07749792-91</t>
  </si>
  <si>
    <t xml:space="preserve">ALONCIO DE JESUS LOPES</t>
  </si>
  <si>
    <t xml:space="preserve">095.758.136-00</t>
  </si>
  <si>
    <t xml:space="preserve">CARLOS ROCHA ARAUJO</t>
  </si>
  <si>
    <t xml:space="preserve">060.816.255-83</t>
  </si>
  <si>
    <t xml:space="preserve">20163736-79</t>
  </si>
  <si>
    <t xml:space="preserve">COSMO FERREIRA DOS SANTOS</t>
  </si>
  <si>
    <t xml:space="preserve">038.948.995-65</t>
  </si>
  <si>
    <t xml:space="preserve">15245079-38</t>
  </si>
  <si>
    <t xml:space="preserve">DANIEL HENRIQUE DE JESUS MAGALHAES</t>
  </si>
  <si>
    <t xml:space="preserve">124.550.435-50</t>
  </si>
  <si>
    <t xml:space="preserve">DOMINGOS DA CONCEIÇAO DE FIGUEIREDO</t>
  </si>
  <si>
    <t xml:space="preserve">891.463.605-49</t>
  </si>
  <si>
    <t xml:space="preserve">07737091-00</t>
  </si>
  <si>
    <t xml:space="preserve">EDRIANO NEVES PEREIRA</t>
  </si>
  <si>
    <t xml:space="preserve">027.266.585-12</t>
  </si>
  <si>
    <t xml:space="preserve">14916409-28</t>
  </si>
  <si>
    <t xml:space="preserve">FABIANO PEREIRA DUARTE </t>
  </si>
  <si>
    <t xml:space="preserve">MATINA</t>
  </si>
  <si>
    <t xml:space="preserve">859.584.155-14</t>
  </si>
  <si>
    <t xml:space="preserve">215662695-2</t>
  </si>
  <si>
    <t xml:space="preserve">FELIPE GOMES FERREIRA</t>
  </si>
  <si>
    <t xml:space="preserve">113.204.395-60</t>
  </si>
  <si>
    <t xml:space="preserve">23194661-93</t>
  </si>
  <si>
    <t xml:space="preserve">GILVAN ALVES PEREIRA</t>
  </si>
  <si>
    <t xml:space="preserve">041.101.515-03</t>
  </si>
  <si>
    <t xml:space="preserve">JACKSON DE JESUS NEVES</t>
  </si>
  <si>
    <t xml:space="preserve">079.616.195-00</t>
  </si>
  <si>
    <t xml:space="preserve">20880778-04</t>
  </si>
  <si>
    <t xml:space="preserve">JACKSON SAMUEL DE JESUS PEREIRA</t>
  </si>
  <si>
    <t xml:space="preserve">117.939.655-36</t>
  </si>
  <si>
    <t xml:space="preserve">16068349-0</t>
  </si>
  <si>
    <t xml:space="preserve">JOAO UILLE FERREIRA DA SILVA</t>
  </si>
  <si>
    <t xml:space="preserve">049.057.475-03</t>
  </si>
  <si>
    <t xml:space="preserve">MARCIANO ROCHA ARAUJO</t>
  </si>
  <si>
    <t xml:space="preserve">GUANAMBI</t>
  </si>
  <si>
    <t xml:space="preserve">087.963.165-19</t>
  </si>
  <si>
    <t xml:space="preserve">MARCOS LEANDRO GOMES FERREIRA</t>
  </si>
  <si>
    <t xml:space="preserve">069.057.615-32</t>
  </si>
  <si>
    <t xml:space="preserve">OSMAIR SILVA ANDRADE</t>
  </si>
  <si>
    <t xml:space="preserve">117.570.715-55</t>
  </si>
  <si>
    <t xml:space="preserve">23590453-85</t>
  </si>
  <si>
    <t xml:space="preserve">RAFAEL BRUNO ROCHA DA SILVA</t>
  </si>
  <si>
    <t xml:space="preserve">051.363.595-52</t>
  </si>
  <si>
    <t xml:space="preserve">15.678.807-11</t>
  </si>
  <si>
    <t xml:space="preserve">RUBERLON DE JESUS SILVA</t>
  </si>
  <si>
    <t xml:space="preserve">867.845.275-77</t>
  </si>
  <si>
    <t xml:space="preserve">23147537-39</t>
  </si>
  <si>
    <t xml:space="preserve">PEDRO GABRIEL DA SILVA BRANGATO</t>
  </si>
  <si>
    <t xml:space="preserve">094.837.335-02</t>
  </si>
  <si>
    <t xml:space="preserve">69891101-5</t>
  </si>
  <si>
    <t xml:space="preserve">MATEUS SANTOS DA SILVA</t>
  </si>
  <si>
    <t xml:space="preserve">865.039.515-58</t>
  </si>
  <si>
    <t xml:space="preserve">ARTUR CARVALHO NEVES</t>
  </si>
  <si>
    <t xml:space="preserve">072.200.995-09</t>
  </si>
  <si>
    <t xml:space="preserve">16662326-10</t>
  </si>
  <si>
    <t xml:space="preserve">EDUARDO OLIVEIRA BARBOSA</t>
  </si>
  <si>
    <t xml:space="preserve">014.089.235-48</t>
  </si>
  <si>
    <t xml:space="preserve">09987307-93</t>
  </si>
  <si>
    <t xml:space="preserve">JOSE MARIA DE BRITO SANTOS</t>
  </si>
  <si>
    <t xml:space="preserve">045.040.025-58</t>
  </si>
  <si>
    <t xml:space="preserve">LUIS HENRIQUE DA SILVA FERNANDES</t>
  </si>
  <si>
    <t xml:space="preserve">118.810.935-90</t>
  </si>
  <si>
    <t xml:space="preserve">23984969-88</t>
  </si>
  <si>
    <t xml:space="preserve">LUCAS PEREIRA VIEIRA</t>
  </si>
  <si>
    <t xml:space="preserve">117.791.225.27</t>
  </si>
  <si>
    <t xml:space="preserve">16979774-05</t>
  </si>
  <si>
    <t xml:space="preserve">FELIPE PAZ DOS SANTOS</t>
  </si>
  <si>
    <t xml:space="preserve">108.939.285-00</t>
  </si>
  <si>
    <t xml:space="preserve">23611969-99</t>
  </si>
  <si>
    <t xml:space="preserve">JOSE ALVES DOS SANTOS </t>
  </si>
  <si>
    <t xml:space="preserve">006.260.165-25</t>
  </si>
  <si>
    <t xml:space="preserve">09210604-83</t>
  </si>
  <si>
    <t xml:space="preserve">NELIO SOUZA PEREIRA</t>
  </si>
  <si>
    <t xml:space="preserve">116.968.305-32</t>
  </si>
  <si>
    <t xml:space="preserve">24058577-15</t>
  </si>
  <si>
    <t xml:space="preserve">EQUIPE: FELIPE DE LIMA MAIA</t>
  </si>
  <si>
    <t xml:space="preserve">ALEX DOS SANTOS CORREA</t>
  </si>
  <si>
    <t xml:space="preserve">NOVA ESPERANÇA DO PIRIA</t>
  </si>
  <si>
    <t xml:space="preserve">009.790.252-73</t>
  </si>
  <si>
    <t xml:space="preserve">01 DE ABRIL DE 2025</t>
  </si>
  <si>
    <t xml:space="preserve">ANTONIO HILTO BATISTA BRAGA</t>
  </si>
  <si>
    <t xml:space="preserve">005.133.092-09</t>
  </si>
  <si>
    <t xml:space="preserve">ANTONIO JEFERSON DA SILVA DE SOUSA</t>
  </si>
  <si>
    <t xml:space="preserve">081.674.252-90</t>
  </si>
  <si>
    <t xml:space="preserve">ANTONIO JOSIMAR SOUZA DOS SANTOS</t>
  </si>
  <si>
    <t xml:space="preserve">MAE DO RIO</t>
  </si>
  <si>
    <t xml:space="preserve">010.973.792-05</t>
  </si>
  <si>
    <t xml:space="preserve">ANTONIO MARIA SOUZA BARBOSA</t>
  </si>
  <si>
    <t xml:space="preserve">874.643.222-15</t>
  </si>
  <si>
    <t xml:space="preserve">ANTONIO WELK FREIRE MOREIRA</t>
  </si>
  <si>
    <t xml:space="preserve">035.325.232-80</t>
  </si>
  <si>
    <t xml:space="preserve">DENISON DA SILVA PINTO</t>
  </si>
  <si>
    <t xml:space="preserve">076.313.502-05</t>
  </si>
  <si>
    <t xml:space="preserve">ELIAS SOARES DA SILVA</t>
  </si>
  <si>
    <t xml:space="preserve">287.256.678-31</t>
  </si>
  <si>
    <t xml:space="preserve">EVANILDO DE SOUZA BRAGA</t>
  </si>
  <si>
    <t xml:space="preserve">012.514.392-33</t>
  </si>
  <si>
    <t xml:space="preserve">FABIO JUNIOR DA COSTA MEDEIROS</t>
  </si>
  <si>
    <t xml:space="preserve">094.399.532-92</t>
  </si>
  <si>
    <t xml:space="preserve">FELIPE DE LIMA MAIA</t>
  </si>
  <si>
    <t xml:space="preserve">070.462.952-63</t>
  </si>
  <si>
    <t xml:space="preserve">FRANCISCO MAURICIO CARNEIRO FERNANDES</t>
  </si>
  <si>
    <t xml:space="preserve">SANTA ISABEL DO PARA</t>
  </si>
  <si>
    <t xml:space="preserve">091.071.172-05</t>
  </si>
  <si>
    <t xml:space="preserve">GENIVAL CONCEICAO DA SILVA</t>
  </si>
  <si>
    <t xml:space="preserve">812.753.402-10</t>
  </si>
  <si>
    <t xml:space="preserve">GENIVALDO MORAES MORAES</t>
  </si>
  <si>
    <t xml:space="preserve">074.234.932-28</t>
  </si>
  <si>
    <t xml:space="preserve">IRAEL FARIAS BRITO</t>
  </si>
  <si>
    <t xml:space="preserve">016.994.532-41</t>
  </si>
  <si>
    <t xml:space="preserve">JHON LENNON SILVA SILVEIRA</t>
  </si>
  <si>
    <t xml:space="preserve">ABAETETUBA</t>
  </si>
  <si>
    <t xml:space="preserve">708.315.312-40</t>
  </si>
  <si>
    <t xml:space="preserve">JOSE ELDO SOARES DA SILVA</t>
  </si>
  <si>
    <t xml:space="preserve">940.965.112-34</t>
  </si>
  <si>
    <t xml:space="preserve">JOSE LUCIVALDO RIBEIRO OLIVEIRA</t>
  </si>
  <si>
    <t xml:space="preserve">042.576.702-74</t>
  </si>
  <si>
    <t xml:space="preserve">JOSE MAX NEVES DA LUZ</t>
  </si>
  <si>
    <t xml:space="preserve">016.954.632-26</t>
  </si>
  <si>
    <t xml:space="preserve">JOSE SALES DA CONCEIÇAO DAMASCENO</t>
  </si>
  <si>
    <t xml:space="preserve">710.324.392-11</t>
  </si>
  <si>
    <t xml:space="preserve">LEONARDO FARIAS DA SILVA</t>
  </si>
  <si>
    <t xml:space="preserve">066.980.162-33</t>
  </si>
  <si>
    <t xml:space="preserve">LUCIANO DA SILVA COSTA </t>
  </si>
  <si>
    <t xml:space="preserve">632.229.222-68</t>
  </si>
  <si>
    <t xml:space="preserve">MOISES FERREIRA DOS SANTOS</t>
  </si>
  <si>
    <t xml:space="preserve">031.526.302-47</t>
  </si>
  <si>
    <t xml:space="preserve">042729272011-3</t>
  </si>
  <si>
    <t xml:space="preserve">PAULO VICTOR OLIVEIRA DE SOUZA</t>
  </si>
  <si>
    <t xml:space="preserve">702.332.052-09</t>
  </si>
  <si>
    <t xml:space="preserve">RAMON MARQUES DOS PASSOS</t>
  </si>
  <si>
    <t xml:space="preserve">030.631.282-44</t>
  </si>
  <si>
    <t xml:space="preserve">WASKTON LUIZ DE OLIVEIRA ASSUNÇAO</t>
  </si>
  <si>
    <t xml:space="preserve">004.372.362-42</t>
  </si>
  <si>
    <t xml:space="preserve">WILLIAN LIMA BRITO </t>
  </si>
  <si>
    <t xml:space="preserve">094.936.452-58</t>
  </si>
  <si>
    <t xml:space="preserve">                                                                     RELAÇÃO EMBARQUE  COLABORADORES SAFRA  2025 / 2026 CONDIMINIO PRATA MG</t>
  </si>
  <si>
    <t xml:space="preserve">EQUIPE: MARCOS AMARO</t>
  </si>
  <si>
    <t xml:space="preserve">ADENILSON MARQUES DA SILVA</t>
  </si>
  <si>
    <t xml:space="preserve">080.958.312-71</t>
  </si>
  <si>
    <t xml:space="preserve">ADRIEL CARLOS FERREIRA MENDES</t>
  </si>
  <si>
    <t xml:space="preserve">017.601.042-48</t>
  </si>
  <si>
    <t xml:space="preserve">ILEGIVEL</t>
  </si>
  <si>
    <t xml:space="preserve">ALAELSON SANTA BRIGIDA DOS SANTOS</t>
  </si>
  <si>
    <t xml:space="preserve">805.707.712-34</t>
  </si>
  <si>
    <t xml:space="preserve">ANAILSON BASTOS FROES</t>
  </si>
  <si>
    <t xml:space="preserve">602.397.733-22</t>
  </si>
  <si>
    <t xml:space="preserve">??????</t>
  </si>
  <si>
    <t xml:space="preserve">ANANIAS BARBOSA DE SOUSA</t>
  </si>
  <si>
    <t xml:space="preserve">113.666.844-60</t>
  </si>
  <si>
    <t xml:space="preserve">ANDRE DE SOUZA ACIOLE</t>
  </si>
  <si>
    <t xml:space="preserve">079.711.614-17</t>
  </si>
  <si>
    <t xml:space="preserve">ANTONIO MARCOS  PICANCO SALDANHA </t>
  </si>
  <si>
    <t xml:space="preserve">006.814.682-54</t>
  </si>
  <si>
    <t xml:space="preserve">CICERO PEREIRA</t>
  </si>
  <si>
    <t xml:space="preserve">573.420.592-34</t>
  </si>
  <si>
    <t xml:space="preserve">DEIVISON BEZERRA DE SOUZA</t>
  </si>
  <si>
    <t xml:space="preserve">083.431.834-28</t>
  </si>
  <si>
    <t xml:space="preserve">DENILSON TABOSA DA CARIDADE</t>
  </si>
  <si>
    <t xml:space="preserve">007.780.022-25</t>
  </si>
  <si>
    <t xml:space="preserve">EDNALDO HENRIQUE DOS SANTOS</t>
  </si>
  <si>
    <t xml:space="preserve">780.447.234-04</t>
  </si>
  <si>
    <t xml:space="preserve">EDUARDO DA SILVA QUEIROZ</t>
  </si>
  <si>
    <t xml:space="preserve">110.044.152-22</t>
  </si>
  <si>
    <t xml:space="preserve">ELVIS DOS SANTOS MUNIZ</t>
  </si>
  <si>
    <t xml:space="preserve">033.626.722-30</t>
  </si>
  <si>
    <t xml:space="preserve">EMANOEL VIEIRA DA SILVA</t>
  </si>
  <si>
    <t xml:space="preserve">106.379.424-26</t>
  </si>
  <si>
    <t xml:space="preserve">106379424-26</t>
  </si>
  <si>
    <t xml:space="preserve">ERLAN SANTOS SILVA</t>
  </si>
  <si>
    <t xml:space="preserve">110.214.782-61</t>
  </si>
  <si>
    <t xml:space="preserve">?????</t>
  </si>
  <si>
    <t xml:space="preserve">FABIO NASCIMENTO SANTOS</t>
  </si>
  <si>
    <t xml:space="preserve">049.741.892-47</t>
  </si>
  <si>
    <t xml:space="preserve">FERNANDO NASCIMENTO FERREIRA</t>
  </si>
  <si>
    <t xml:space="preserve">084.941.194-78</t>
  </si>
  <si>
    <t xml:space="preserve">FRANCISCO TIAGO DA SILVA FRANCO</t>
  </si>
  <si>
    <t xml:space="preserve">072.770.632-28</t>
  </si>
  <si>
    <t xml:space="preserve">JABSON JOSAFA MELO GONZAGA ESPINDOLA</t>
  </si>
  <si>
    <t xml:space="preserve">155.860.674-20</t>
  </si>
  <si>
    <t xml:space="preserve">JADERSON DOS SANTOS FRAZAO </t>
  </si>
  <si>
    <t xml:space="preserve">618.412.103-07</t>
  </si>
  <si>
    <t xml:space="preserve">JAIR BATISTA DE SANTANA</t>
  </si>
  <si>
    <t xml:space="preserve">048.714.864-94</t>
  </si>
  <si>
    <t xml:space="preserve">JAIRO FRANCISCO DA SILVA</t>
  </si>
  <si>
    <t xml:space="preserve">100.391.664-30</t>
  </si>
  <si>
    <t xml:space="preserve">JOSE CARLOS DE OLIVEIRA</t>
  </si>
  <si>
    <t xml:space="preserve">098.635.774-05</t>
  </si>
  <si>
    <t xml:space="preserve">????????</t>
  </si>
  <si>
    <t xml:space="preserve">JOSE GABRIEL BEZERRA DE LIMA</t>
  </si>
  <si>
    <t xml:space="preserve">140.364.534-59</t>
  </si>
  <si>
    <t xml:space="preserve">JOSE LUIZ DA SILVA</t>
  </si>
  <si>
    <t xml:space="preserve">003.009.052-03</t>
  </si>
  <si>
    <t xml:space="preserve">JOSE MANOEL DA SILVA</t>
  </si>
  <si>
    <t xml:space="preserve">050.247.584-63</t>
  </si>
  <si>
    <t xml:space="preserve">LEANDRO SANTOS DE SOUSA</t>
  </si>
  <si>
    <t xml:space="preserve">701.676.732-97</t>
  </si>
  <si>
    <t xml:space="preserve">LUIS ARTUR GERMANO DE LIRA</t>
  </si>
  <si>
    <t xml:space="preserve">069.724.024-09</t>
  </si>
  <si>
    <t xml:space="preserve">MANOEL ADRIANO SOUSA FERREIRA</t>
  </si>
  <si>
    <t xml:space="preserve">702.332.632-41</t>
  </si>
  <si>
    <t xml:space="preserve">MANOEL PEDRO DO NASCIMENTO FILHO</t>
  </si>
  <si>
    <t xml:space="preserve">101.342.364-08</t>
  </si>
  <si>
    <t xml:space="preserve">MANOEL VALDECIR DOS REMEDIOS</t>
  </si>
  <si>
    <t xml:space="preserve">115.117.142-55</t>
  </si>
  <si>
    <t xml:space="preserve">MARCOS AMARO DA SILVA </t>
  </si>
  <si>
    <t xml:space="preserve">098.232.614-90</t>
  </si>
  <si>
    <t xml:space="preserve">MARCOS LUIZ DE SANTANA</t>
  </si>
  <si>
    <t xml:space="preserve">063.690.754-69</t>
  </si>
  <si>
    <t xml:space="preserve">50302155-6</t>
  </si>
  <si>
    <t xml:space="preserve">MAYCON JESSE FERNANDO AZEVEDO</t>
  </si>
  <si>
    <t xml:space="preserve">703.904.862-05</t>
  </si>
  <si>
    <t xml:space="preserve">RAIMUNDO DA FONSECA MUNIZ</t>
  </si>
  <si>
    <t xml:space="preserve">622.048.662-53</t>
  </si>
  <si>
    <t xml:space="preserve">RAIMUNDO RAMOS DOS SANTOS</t>
  </si>
  <si>
    <t xml:space="preserve">951.550.822-34</t>
  </si>
  <si>
    <t xml:space="preserve">ROBSON SABINO DE OLIVEIRA</t>
  </si>
  <si>
    <t xml:space="preserve">SIDCLEY RAMOS DA SILVA</t>
  </si>
  <si>
    <t xml:space="preserve">068.555.664-64</t>
  </si>
  <si>
    <t xml:space="preserve">VAGNER SILVA SANTOS</t>
  </si>
  <si>
    <t xml:space="preserve">034.347.122-16</t>
  </si>
  <si>
    <t xml:space="preserve">WEDSON ROBERTO DE MENDONÇA</t>
  </si>
  <si>
    <t xml:space="preserve">134.645.624-09</t>
  </si>
  <si>
    <t xml:space="preserve">WILLAMIS LUIZ DA SILVA</t>
  </si>
  <si>
    <t xml:space="preserve">090.052.164-33</t>
  </si>
  <si>
    <t xml:space="preserve">DOC. LIDER                                                                     RELAÇÃO EMBARQUE  COLABORADORES SAFRA  2025 / 2026 CONDIMINIO PRATA MG</t>
  </si>
  <si>
    <t xml:space="preserve">EQUIPE: RAIMUNDO NONATO</t>
  </si>
  <si>
    <t xml:space="preserve">ANTONIO MATHEUS PEREIRA DOS SANTOS</t>
  </si>
  <si>
    <t xml:space="preserve">096.878.453-41</t>
  </si>
  <si>
    <t xml:space="preserve">2007059863-5</t>
  </si>
  <si>
    <t xml:space="preserve">ANTONIO WENDEL PINTO DE OLIVEIRA</t>
  </si>
  <si>
    <t xml:space="preserve">092.450.103-09</t>
  </si>
  <si>
    <t xml:space="preserve">2007118452-4</t>
  </si>
  <si>
    <t xml:space="preserve">FRANCISCO ADRIANO SILVA SOUSA</t>
  </si>
  <si>
    <t xml:space="preserve">636.613.733-15</t>
  </si>
  <si>
    <t xml:space="preserve">67232379-5</t>
  </si>
  <si>
    <t xml:space="preserve">FRANCISCO EVANDRO SAMPAIO DA SILVA</t>
  </si>
  <si>
    <t xml:space="preserve">628.563.673-72</t>
  </si>
  <si>
    <t xml:space="preserve">FRANCISCO JOCILANE DA SILVA ALVES </t>
  </si>
  <si>
    <t xml:space="preserve">603.428.403-12</t>
  </si>
  <si>
    <t xml:space="preserve">20090100906-35</t>
  </si>
  <si>
    <t xml:space="preserve">FRANCISCO RENATO MENDES NERES</t>
  </si>
  <si>
    <t xml:space="preserve">613.268.983-45</t>
  </si>
  <si>
    <t xml:space="preserve">613268983-45</t>
  </si>
  <si>
    <t xml:space="preserve">LUIZ FERREIRA VIEIRA</t>
  </si>
  <si>
    <t xml:space="preserve">060.126.893-81</t>
  </si>
  <si>
    <t xml:space="preserve">2007029036-3</t>
  </si>
  <si>
    <t xml:space="preserve">SAMUEL ARCELINO GOMES</t>
  </si>
  <si>
    <t xml:space="preserve">095.371.403-93</t>
  </si>
  <si>
    <t xml:space="preserve">095371403-93</t>
  </si>
  <si>
    <t xml:space="preserve">                                                                 RELAÇÃO EMBARQUE  COLABORADORES SAFRA  2025 / 2026 CONDIMINIO PRATA MG</t>
  </si>
  <si>
    <t xml:space="preserve">TELEFONE</t>
  </si>
  <si>
    <t xml:space="preserve">EQUIPE: LEANDRO DA SILVA</t>
  </si>
  <si>
    <t xml:space="preserve">ALEXSANDRO OLIVEIRA CABRAL</t>
  </si>
  <si>
    <t xml:space="preserve">VIÇOSA</t>
  </si>
  <si>
    <t xml:space="preserve">713.252.104-71</t>
  </si>
  <si>
    <t xml:space="preserve">4142767-0</t>
  </si>
  <si>
    <t xml:space="preserve">18 DE JUNHO DE 2025</t>
  </si>
  <si>
    <t xml:space="preserve">CARLOS EDUARDO DA SILVA GOMES</t>
  </si>
  <si>
    <t xml:space="preserve">129.100.604-46</t>
  </si>
  <si>
    <t xml:space="preserve">3975097-3</t>
  </si>
  <si>
    <t xml:space="preserve">CARLOS MANUEL EDUARDO DA SILVA</t>
  </si>
  <si>
    <t xml:space="preserve">140.791.504-58</t>
  </si>
  <si>
    <t xml:space="preserve">CLAUDEVAN ANANIAS DA SILVA</t>
  </si>
  <si>
    <t xml:space="preserve">CAJUEIRO</t>
  </si>
  <si>
    <t xml:space="preserve">104.413.194-24</t>
  </si>
  <si>
    <t xml:space="preserve">4444116-9</t>
  </si>
  <si>
    <t xml:space="preserve">EDUARDO FERREIRA DA SILVA</t>
  </si>
  <si>
    <t xml:space="preserve">066.520.444-20</t>
  </si>
  <si>
    <t xml:space="preserve">3059469-3</t>
  </si>
  <si>
    <t xml:space="preserve">ELIVELTON WILLY VICENTE DE LIMA</t>
  </si>
  <si>
    <t xml:space="preserve">137.865.284-38</t>
  </si>
  <si>
    <t xml:space="preserve">3963291-1</t>
  </si>
  <si>
    <t xml:space="preserve">ERIVAN DA SILVA OLIVEIRA</t>
  </si>
  <si>
    <t xml:space="preserve">109.424.704-94</t>
  </si>
  <si>
    <t xml:space="preserve">3520786-8</t>
  </si>
  <si>
    <t xml:space="preserve">FABIANO JOSE SILVA DOS SANTOS</t>
  </si>
  <si>
    <t xml:space="preserve">078.001.034-55</t>
  </si>
  <si>
    <t xml:space="preserve">3188374-5</t>
  </si>
  <si>
    <t xml:space="preserve">FLAVIO JOSE DA SILVA LOPES</t>
  </si>
  <si>
    <t xml:space="preserve">096.798.374-67</t>
  </si>
  <si>
    <t xml:space="preserve">3448196-6</t>
  </si>
  <si>
    <t xml:space="preserve">GIVALDO DA SILVA ALBUQUERQUE</t>
  </si>
  <si>
    <t xml:space="preserve">136.892.464-66</t>
  </si>
  <si>
    <t xml:space="preserve">4391551-5</t>
  </si>
  <si>
    <t xml:space="preserve">JOSE CICERO DA SILVA</t>
  </si>
  <si>
    <t xml:space="preserve">985.737.484-00</t>
  </si>
  <si>
    <t xml:space="preserve">985737484-00</t>
  </si>
  <si>
    <t xml:space="preserve">JOSE FERNANDO DA SILVA</t>
  </si>
  <si>
    <t xml:space="preserve">123.972.864-67</t>
  </si>
  <si>
    <t xml:space="preserve">JOSE JARDISON DA SILVA</t>
  </si>
  <si>
    <t xml:space="preserve">136.892.254-69</t>
  </si>
  <si>
    <t xml:space="preserve">4283448-1</t>
  </si>
  <si>
    <t xml:space="preserve">JOSE LEONARDO MIRANDA DA SILVA</t>
  </si>
  <si>
    <t xml:space="preserve">105.106.334-55</t>
  </si>
  <si>
    <t xml:space="preserve">JOSE RAFAEL TERTULINO</t>
  </si>
  <si>
    <t xml:space="preserve">181.494.174-60</t>
  </si>
  <si>
    <t xml:space="preserve">JOSE VIEIRA DA SILVA FILHO</t>
  </si>
  <si>
    <t xml:space="preserve">090.280.024-80</t>
  </si>
  <si>
    <t xml:space="preserve">090280024-80</t>
  </si>
  <si>
    <t xml:space="preserve">JOSE VITOR BATISTA DA SILVA</t>
  </si>
  <si>
    <t xml:space="preserve">109.543-104-89</t>
  </si>
  <si>
    <t xml:space="preserve">JOSE WALLISSON DA SILVA</t>
  </si>
  <si>
    <t xml:space="preserve">083.984.914-18</t>
  </si>
  <si>
    <t xml:space="preserve">083984914-18</t>
  </si>
  <si>
    <t xml:space="preserve">JOSE WILLAS DA SILVA</t>
  </si>
  <si>
    <t xml:space="preserve">129.968.874-84</t>
  </si>
  <si>
    <t xml:space="preserve">4205423-0</t>
  </si>
  <si>
    <t xml:space="preserve">JOSE WILLIAMS DA SILVA</t>
  </si>
  <si>
    <t xml:space="preserve">050.607.274-67</t>
  </si>
  <si>
    <t xml:space="preserve">JULIANDERSON DA SILVA HOLANDA</t>
  </si>
  <si>
    <t xml:space="preserve">715.331.884-40</t>
  </si>
  <si>
    <t xml:space="preserve">4169853-3</t>
  </si>
  <si>
    <t xml:space="preserve">LEANDRO CASSIANO DA SILVA</t>
  </si>
  <si>
    <t xml:space="preserve">120.331.344-66</t>
  </si>
  <si>
    <t xml:space="preserve">120331344-66</t>
  </si>
  <si>
    <t xml:space="preserve">LEANDRO DA SILVA</t>
  </si>
  <si>
    <t xml:space="preserve">702.223.024-29</t>
  </si>
  <si>
    <t xml:space="preserve">4609681-5</t>
  </si>
  <si>
    <t xml:space="preserve">LEONARDO DA SILVA</t>
  </si>
  <si>
    <t xml:space="preserve">720.012.154-10</t>
  </si>
  <si>
    <t xml:space="preserve">LUCIANO ANTONIO SANTOS NOGUEIRA</t>
  </si>
  <si>
    <t xml:space="preserve">375.182.718-85</t>
  </si>
  <si>
    <t xml:space="preserve">LUIS EDUARDO DA SILVA</t>
  </si>
  <si>
    <t xml:space="preserve">058.017.974-59</t>
  </si>
  <si>
    <t xml:space="preserve">MANOEL FERREIRA DOS SANTOS</t>
  </si>
  <si>
    <t xml:space="preserve">077.819.814-64</t>
  </si>
  <si>
    <t xml:space="preserve">3037478-2</t>
  </si>
  <si>
    <t xml:space="preserve">MATHEUS EDUARDO DA SILVA</t>
  </si>
  <si>
    <t xml:space="preserve">140.791.204-60</t>
  </si>
  <si>
    <t xml:space="preserve">RANDERSON IZIDORIO SOARES ALEXANDRE</t>
  </si>
  <si>
    <t xml:space="preserve">072.570.844-16</t>
  </si>
  <si>
    <t xml:space="preserve">9061695-6</t>
  </si>
  <si>
    <t xml:space="preserve">REGINALDO DE OLIVEIRA SILVA</t>
  </si>
  <si>
    <t xml:space="preserve">CAPELA</t>
  </si>
  <si>
    <t xml:space="preserve">061.710.664-94</t>
  </si>
  <si>
    <t xml:space="preserve">20030050014-50</t>
  </si>
  <si>
    <t xml:space="preserve">ROBSON VINICIUS FERREIRA DO NASCIMENTO</t>
  </si>
  <si>
    <t xml:space="preserve">127.697.314-40</t>
  </si>
  <si>
    <t xml:space="preserve">4054989-5</t>
  </si>
  <si>
    <t xml:space="preserve">SEVERINO EDUARDO DA SILVA</t>
  </si>
  <si>
    <t xml:space="preserve">075.445.414-28</t>
  </si>
  <si>
    <t xml:space="preserve">3602056-7</t>
  </si>
  <si>
    <t xml:space="preserve">VITOR DA SILVA</t>
  </si>
  <si>
    <t xml:space="preserve">155.279.184-01</t>
  </si>
  <si>
    <t xml:space="preserve">155279184-01</t>
  </si>
  <si>
    <t xml:space="preserve">WELLINGTON DE OLIVEIRA</t>
  </si>
  <si>
    <t xml:space="preserve">114.751.997-83</t>
  </si>
  <si>
    <t xml:space="preserve">67070020-4</t>
  </si>
  <si>
    <t xml:space="preserve">WILLAMS DA SILVA ARAUJO</t>
  </si>
  <si>
    <t xml:space="preserve">076.684.944-99</t>
  </si>
  <si>
    <t xml:space="preserve">3138459-5</t>
  </si>
  <si>
    <t xml:space="preserve">WILLAMS DA SILVA LOPES</t>
  </si>
  <si>
    <t xml:space="preserve">150.984.174-14</t>
  </si>
  <si>
    <t xml:space="preserve">4470783-5</t>
  </si>
  <si>
    <t xml:space="preserve">                                                                    RELAÇÃO EMBARQUE  COLABORADORES SAFRA  2025 / 2026 CONDIMINIO PRATA MG</t>
  </si>
  <si>
    <t xml:space="preserve">CONTAS REENVIAR</t>
  </si>
  <si>
    <t xml:space="preserve">EQUIPE: ANTONIO NASCIMENTO</t>
  </si>
  <si>
    <t xml:space="preserve">ALEXANDRE GOMES DE SOUSA</t>
  </si>
  <si>
    <t xml:space="preserve">035.758.142-36</t>
  </si>
  <si>
    <t xml:space="preserve">20 DE JUNHO DE 2025</t>
  </si>
  <si>
    <t xml:space="preserve">ANDRE BEZERRA DOS SANTOS</t>
  </si>
  <si>
    <t xml:space="preserve">709.956.732-25</t>
  </si>
  <si>
    <t xml:space="preserve">andrebezerradossantos2021@gmail.com</t>
  </si>
  <si>
    <t xml:space="preserve">ANTONIO CARLOS RODRIGUES DOS SANTOS</t>
  </si>
  <si>
    <t xml:space="preserve">053.857.612-06</t>
  </si>
  <si>
    <t xml:space="preserve">ANTONIO DO NASCIMENTO </t>
  </si>
  <si>
    <t xml:space="preserve">032.966.722-06</t>
  </si>
  <si>
    <t xml:space="preserve">extrato</t>
  </si>
  <si>
    <t xml:space="preserve">ANTONIO GENILSON RIBEIRO MENDES</t>
  </si>
  <si>
    <t xml:space="preserve">057.328.382-60</t>
  </si>
  <si>
    <t xml:space="preserve">filhosmendes02@gmail.com</t>
  </si>
  <si>
    <t xml:space="preserve">ANTONIO LUIS DA LUZ MARTINS</t>
  </si>
  <si>
    <t xml:space="preserve">032.613.112-40</t>
  </si>
  <si>
    <t xml:space="preserve">ANTONIO RAFAEL DA SILVA ARAUJO</t>
  </si>
  <si>
    <t xml:space="preserve">101.979.982-08</t>
  </si>
  <si>
    <t xml:space="preserve">CARLOS NETO NUNES DE LIMA</t>
  </si>
  <si>
    <t xml:space="preserve">089.446.902-94</t>
  </si>
  <si>
    <t xml:space="preserve">DANIEL DA SILVA SENA</t>
  </si>
  <si>
    <t xml:space="preserve">106.518.252-02</t>
  </si>
  <si>
    <t xml:space="preserve">DEILSON SOUSA DA CONCEIÇAO</t>
  </si>
  <si>
    <t xml:space="preserve">080.380.062-24</t>
  </si>
  <si>
    <t xml:space="preserve">DENILSON FRANCISCO MORAES DE SOUZA</t>
  </si>
  <si>
    <t xml:space="preserve">704.188.592-56</t>
  </si>
  <si>
    <t xml:space="preserve">DIONY SOUZA DOS SANTOS</t>
  </si>
  <si>
    <t xml:space="preserve">053.274.702-02</t>
  </si>
  <si>
    <t xml:space="preserve">EDILSON SOUSA DA CONCEIÇAO</t>
  </si>
  <si>
    <t xml:space="preserve">089.732-922-85</t>
  </si>
  <si>
    <t xml:space="preserve">banco</t>
  </si>
  <si>
    <t xml:space="preserve">edivanleao366@gmail.com</t>
  </si>
  <si>
    <t xml:space="preserve">EDMILSON MORAIS DE OLIVEIRA</t>
  </si>
  <si>
    <t xml:space="preserve">084.777.632-83</t>
  </si>
  <si>
    <t xml:space="preserve">ELIVALDO SOUSA FERREIRA</t>
  </si>
  <si>
    <t xml:space="preserve">032.000.872-00</t>
  </si>
  <si>
    <t xml:space="preserve">ELTON RENAN FONSECA DA SILVA</t>
  </si>
  <si>
    <t xml:space="preserve">ENDERSON DA SILVA LIRA</t>
  </si>
  <si>
    <t xml:space="preserve">079.551.162-08</t>
  </si>
  <si>
    <t xml:space="preserve">FABRICIO OLIVEIRA NUNES</t>
  </si>
  <si>
    <t xml:space="preserve">086.488.182-73</t>
  </si>
  <si>
    <t xml:space="preserve">933319-1</t>
  </si>
  <si>
    <t xml:space="preserve">FRANCISCO ROGERIO SILVA RIBEIRO </t>
  </si>
  <si>
    <t xml:space="preserve">CAPITAO  POÇO</t>
  </si>
  <si>
    <t xml:space="preserve">869.361.321-04</t>
  </si>
  <si>
    <t xml:space="preserve">FRANCISCO TIAGO GRAVEZ MACIEL</t>
  </si>
  <si>
    <t xml:space="preserve">026.771.022-42</t>
  </si>
  <si>
    <t xml:space="preserve">FRANCIVALDO MOTA SANTOS</t>
  </si>
  <si>
    <t xml:space="preserve">002.560.522-47</t>
  </si>
  <si>
    <t xml:space="preserve">GABRIEL LIMA COSTA </t>
  </si>
  <si>
    <t xml:space="preserve">102.575.542-11</t>
  </si>
  <si>
    <t xml:space="preserve">GALCENILDO GARCIA DOS SANTOS</t>
  </si>
  <si>
    <t xml:space="preserve">002.755.462-76</t>
  </si>
  <si>
    <t xml:space="preserve">GEOVANE CHUMBER DE OLIVEIRA </t>
  </si>
  <si>
    <t xml:space="preserve">708.203.512-88</t>
  </si>
  <si>
    <t xml:space="preserve">GLEISON ADENILSON SILVA DA SILVA</t>
  </si>
  <si>
    <t xml:space="preserve">096.097.072-03</t>
  </si>
  <si>
    <t xml:space="preserve">IVANILSON RIBEIRO DE SOUZA</t>
  </si>
  <si>
    <t xml:space="preserve">071.921.842-09</t>
  </si>
  <si>
    <t xml:space="preserve">JAILSON MORAIS DE OLIVEIRA</t>
  </si>
  <si>
    <t xml:space="preserve">080.970.212-69</t>
  </si>
  <si>
    <t xml:space="preserve">JAIRO MOISES RIBEIRO COSTA</t>
  </si>
  <si>
    <t xml:space="preserve">986.689.432-00</t>
  </si>
  <si>
    <t xml:space="preserve">JOSE MARIA SANTOS SOUSA</t>
  </si>
  <si>
    <t xml:space="preserve">029.570.182-09</t>
  </si>
  <si>
    <t xml:space="preserve">JOSE MAURICIO SILVA SANTOS</t>
  </si>
  <si>
    <t xml:space="preserve">010.431.432-03</t>
  </si>
  <si>
    <t xml:space="preserve">LEANDRO DOS SANTOS MATOS</t>
  </si>
  <si>
    <t xml:space="preserve">711.347.242-76</t>
  </si>
  <si>
    <t xml:space="preserve">LORENILSON PEREIRA DA SILVA</t>
  </si>
  <si>
    <t xml:space="preserve">010.294.992-17</t>
  </si>
  <si>
    <t xml:space="preserve">MARCOS PAULO DE OLIVEIRA RIBEIRO</t>
  </si>
  <si>
    <t xml:space="preserve">042.725.312-80</t>
  </si>
  <si>
    <t xml:space="preserve">MARLYSON LEAO LOPES </t>
  </si>
  <si>
    <t xml:space="preserve">080.596.052-08</t>
  </si>
  <si>
    <t xml:space="preserve">RAIMUNDO CLEBSON PINHEIRO DA SILVA</t>
  </si>
  <si>
    <t xml:space="preserve">107.671.972-40</t>
  </si>
  <si>
    <t xml:space="preserve">RIZOMAR CANEJO ROCHA</t>
  </si>
  <si>
    <t xml:space="preserve">397.467.632-53</t>
  </si>
  <si>
    <t xml:space="preserve">VAGNER MIGUEL CANOSA SANTA BRIGIDA</t>
  </si>
  <si>
    <t xml:space="preserve">009.156.762-90</t>
  </si>
  <si>
    <t xml:space="preserve">vagnermiguelcanosa205@gmail.com</t>
  </si>
  <si>
    <t xml:space="preserve">YAGO CHUMBER TEIXEIRA</t>
  </si>
  <si>
    <t xml:space="preserve">084.412.132-08</t>
  </si>
  <si>
    <t xml:space="preserve">EQUIPE: DAYVISSON DE OLIVEIRA</t>
  </si>
  <si>
    <t xml:space="preserve">ALEXSANDRO RICARDO DE SOUZA</t>
  </si>
  <si>
    <t xml:space="preserve">084.730.604-66</t>
  </si>
  <si>
    <t xml:space="preserve">3303790-6</t>
  </si>
  <si>
    <t xml:space="preserve">ANDERSON DA SILVA</t>
  </si>
  <si>
    <t xml:space="preserve">125.432.134-90</t>
  </si>
  <si>
    <t xml:space="preserve">4289666-5</t>
  </si>
  <si>
    <t xml:space="preserve">ANTONY DA SILVA BERNARDINO</t>
  </si>
  <si>
    <t xml:space="preserve">129.135.014-43</t>
  </si>
  <si>
    <t xml:space="preserve">129135014-43</t>
  </si>
  <si>
    <t xml:space="preserve">CRISTIANO PEREIRA DA SILVA JUNIOR </t>
  </si>
  <si>
    <t xml:space="preserve">143.153.694-62</t>
  </si>
  <si>
    <t xml:space="preserve"> DAVI LUAN CAVALCANTE DOS SANTOS</t>
  </si>
  <si>
    <t xml:space="preserve">005.779.734-01</t>
  </si>
  <si>
    <t xml:space="preserve">005779734-01</t>
  </si>
  <si>
    <t xml:space="preserve">DANIEL DE SANTANA OLIVEIRA</t>
  </si>
  <si>
    <t xml:space="preserve">094.368.324-60</t>
  </si>
  <si>
    <t xml:space="preserve">4253025-3</t>
  </si>
  <si>
    <t xml:space="preserve">DARLAN CAVALCANTE DA SILVA</t>
  </si>
  <si>
    <t xml:space="preserve">114.154.394-00</t>
  </si>
  <si>
    <t xml:space="preserve">114154394-00</t>
  </si>
  <si>
    <t xml:space="preserve">DAYVISSON DE OLIVEIRA SILVA</t>
  </si>
  <si>
    <t xml:space="preserve">130.404.104-23</t>
  </si>
  <si>
    <t xml:space="preserve">3958313-9</t>
  </si>
  <si>
    <t xml:space="preserve">DENILSON GOMES BARROS</t>
  </si>
  <si>
    <t xml:space="preserve">134.662.534-46</t>
  </si>
  <si>
    <t xml:space="preserve">4086952-0</t>
  </si>
  <si>
    <t xml:space="preserve">EVITON VITOR DA SILVA</t>
  </si>
  <si>
    <t xml:space="preserve">179.824.144-78</t>
  </si>
  <si>
    <t xml:space="preserve">FELIPE DE MOURA MOREIRA</t>
  </si>
  <si>
    <t xml:space="preserve">131.092.954-82</t>
  </si>
  <si>
    <t xml:space="preserve">131092954-82</t>
  </si>
  <si>
    <t xml:space="preserve">FRANCIEL JACKSON GOMES DA SILVA</t>
  </si>
  <si>
    <t xml:space="preserve">167.543.824-22</t>
  </si>
  <si>
    <t xml:space="preserve">4471774-1</t>
  </si>
  <si>
    <t xml:space="preserve">HUGO SANTIAGO DOS SANTOS ARAUJO</t>
  </si>
  <si>
    <t xml:space="preserve">449.195.158-63</t>
  </si>
  <si>
    <t xml:space="preserve">3539557-5</t>
  </si>
  <si>
    <t xml:space="preserve">ISAAC FRUTUOSO DOS SANTOS</t>
  </si>
  <si>
    <t xml:space="preserve">167.957.734-42</t>
  </si>
  <si>
    <t xml:space="preserve">4139404-6</t>
  </si>
  <si>
    <t xml:space="preserve">JADSON DA SILVA GOMES</t>
  </si>
  <si>
    <t xml:space="preserve">148.275.334-07</t>
  </si>
  <si>
    <t xml:space="preserve">JAMISOM MADRUGA DOS SANTOS</t>
  </si>
  <si>
    <t xml:space="preserve">129.052.564-19</t>
  </si>
  <si>
    <t xml:space="preserve">4046254-4</t>
  </si>
  <si>
    <t xml:space="preserve">JEFFERSON SILVA MARIANO</t>
  </si>
  <si>
    <t xml:space="preserve">100.920.574-97</t>
  </si>
  <si>
    <t xml:space="preserve">3278304-7</t>
  </si>
  <si>
    <t xml:space="preserve">deivinhovitti@icloud.com</t>
  </si>
  <si>
    <t xml:space="preserve">JOAO PAULO DA SILVA</t>
  </si>
  <si>
    <t xml:space="preserve">714.656.414-24</t>
  </si>
  <si>
    <t xml:space="preserve">4288825-5</t>
  </si>
  <si>
    <t xml:space="preserve">JOSE ANTONIO DA SILVA</t>
  </si>
  <si>
    <t xml:space="preserve">015.485.524-37</t>
  </si>
  <si>
    <t xml:space="preserve">3057334-3</t>
  </si>
  <si>
    <t xml:space="preserve">JOSE CARLOS ANDRE DA SILVA</t>
  </si>
  <si>
    <t xml:space="preserve">080.470.964-51</t>
  </si>
  <si>
    <t xml:space="preserve">JOSE CICERO GOMES DA SILVA</t>
  </si>
  <si>
    <t xml:space="preserve">716.507.834-77</t>
  </si>
  <si>
    <t xml:space="preserve">716507834-77</t>
  </si>
  <si>
    <t xml:space="preserve">JOSE EDILSON DA SILVA</t>
  </si>
  <si>
    <t xml:space="preserve">717.936.514-93</t>
  </si>
  <si>
    <t xml:space="preserve">4362308-5</t>
  </si>
  <si>
    <t xml:space="preserve">JOSE FELIPE DA SILVA</t>
  </si>
  <si>
    <t xml:space="preserve">712.037.424-95</t>
  </si>
  <si>
    <t xml:space="preserve">4080889-0</t>
  </si>
  <si>
    <t xml:space="preserve">JOSE GIVANILDO DE LIMA SILVA</t>
  </si>
  <si>
    <t xml:space="preserve">134.782.274-70</t>
  </si>
  <si>
    <t xml:space="preserve">3734232-0</t>
  </si>
  <si>
    <t xml:space="preserve">JOSE SEVERINO DA SILVA</t>
  </si>
  <si>
    <t xml:space="preserve">045.860.204-31</t>
  </si>
  <si>
    <t xml:space="preserve">JOSE VITOR DA SILVA SANTOS</t>
  </si>
  <si>
    <t xml:space="preserve">145.560.134-96</t>
  </si>
  <si>
    <t xml:space="preserve">145560134-96</t>
  </si>
  <si>
    <t xml:space="preserve">KARLOS EDUARDO TEIXEIRA COSTA</t>
  </si>
  <si>
    <t xml:space="preserve">078.912.574-93</t>
  </si>
  <si>
    <t xml:space="preserve">078912574-93</t>
  </si>
  <si>
    <t xml:space="preserve">KLEITON RUAN DA SILVA MENDONÇA</t>
  </si>
  <si>
    <t xml:space="preserve">180.413.254-32</t>
  </si>
  <si>
    <t xml:space="preserve">LUIS DIEGO DA SILVA</t>
  </si>
  <si>
    <t xml:space="preserve">721.142.734-58</t>
  </si>
  <si>
    <t xml:space="preserve">LUIZ CARLOS DOS SANTOS SILVA</t>
  </si>
  <si>
    <t xml:space="preserve">179.423.704-61</t>
  </si>
  <si>
    <t xml:space="preserve">4413388-0</t>
  </si>
  <si>
    <t xml:space="preserve">MARCOS DOS SANTOS</t>
  </si>
  <si>
    <t xml:space="preserve">076.300.654-85</t>
  </si>
  <si>
    <t xml:space="preserve">076300654-85</t>
  </si>
  <si>
    <t xml:space="preserve">djoseantonio657@gmail.com</t>
  </si>
  <si>
    <t xml:space="preserve">MAYCON DOUGLAS ROSENDO DA SILVA</t>
  </si>
  <si>
    <t xml:space="preserve">129.890.574-55</t>
  </si>
  <si>
    <t xml:space="preserve">3992801-2</t>
  </si>
  <si>
    <t xml:space="preserve">NATANIEL CAVALCANTE DA SILVA</t>
  </si>
  <si>
    <t xml:space="preserve">123.712.184-13</t>
  </si>
  <si>
    <t xml:space="preserve">3768686-0</t>
  </si>
  <si>
    <t xml:space="preserve">NICODEMOS COSME DA CONCEIÇAO</t>
  </si>
  <si>
    <t xml:space="preserve">114.497.374-04</t>
  </si>
  <si>
    <t xml:space="preserve">114497374-04</t>
  </si>
  <si>
    <t xml:space="preserve">RAVIRCH85@GMAIL.COM</t>
  </si>
  <si>
    <t xml:space="preserve">NIVALDO BENEDITO DOS SANTOS</t>
  </si>
  <si>
    <t xml:space="preserve">037.004.434-71</t>
  </si>
  <si>
    <t xml:space="preserve">037004434-71</t>
  </si>
  <si>
    <t xml:space="preserve">NIVALDO DA SILVA</t>
  </si>
  <si>
    <t xml:space="preserve">925.640.894-53</t>
  </si>
  <si>
    <t xml:space="preserve">guettho2015@outlook.com</t>
  </si>
  <si>
    <t xml:space="preserve">PAULO HENRIQUE DA SILVA</t>
  </si>
  <si>
    <t xml:space="preserve">719.606.654-56</t>
  </si>
  <si>
    <t xml:space="preserve">henriquepauloxd01@gmail.com</t>
  </si>
  <si>
    <t xml:space="preserve">PEDRO DA SILVA</t>
  </si>
  <si>
    <t xml:space="preserve">028.757.424-50</t>
  </si>
  <si>
    <t xml:space="preserve">028757424-50</t>
  </si>
  <si>
    <t xml:space="preserve">TARCIANO DA SILVA DANTAS </t>
  </si>
  <si>
    <t xml:space="preserve">123.381.114-27</t>
  </si>
  <si>
    <t xml:space="preserve">3860568-6</t>
  </si>
  <si>
    <t xml:space="preserve">VINICIUS DA CONCEIÇAO SILVA</t>
  </si>
  <si>
    <t xml:space="preserve">155.974.874-50</t>
  </si>
  <si>
    <t xml:space="preserve">155974874-50</t>
  </si>
  <si>
    <t xml:space="preserve">WEVELY RUAN GOMES BARROS</t>
  </si>
  <si>
    <t xml:space="preserve">134.680.124-03</t>
  </si>
  <si>
    <t xml:space="preserve">4087362-5</t>
  </si>
  <si>
    <t xml:space="preserve">                                                                   RELAÇÃO EMBARQUE  COLABORADORES SAFRA  2025 / 2026 CONDIMINIO PRATA MG</t>
  </si>
  <si>
    <t xml:space="preserve">EQUIPE: MARCOS CARLOS</t>
  </si>
  <si>
    <t xml:space="preserve">ALAILTON MELO DA SILVA </t>
  </si>
  <si>
    <t xml:space="preserve">045.823.672-16</t>
  </si>
  <si>
    <t xml:space="preserve">ANDERSON SILVA DA CONCEICAO</t>
  </si>
  <si>
    <t xml:space="preserve">701.829.622-61</t>
  </si>
  <si>
    <t xml:space="preserve">ANDRE GUILHERME MAXIMO CAZUZA</t>
  </si>
  <si>
    <t xml:space="preserve">084.886.212-05</t>
  </si>
  <si>
    <t xml:space="preserve">ANGLEVIO SOUSA DA SILVA</t>
  </si>
  <si>
    <t xml:space="preserve">061.524.082-88</t>
  </si>
  <si>
    <t xml:space="preserve">ANTONIO MARIA DE OLIVEIRA SOUZA</t>
  </si>
  <si>
    <t xml:space="preserve">011.301.772-38</t>
  </si>
  <si>
    <t xml:space="preserve">ANTONIO WAGNER SILVA SANTOS</t>
  </si>
  <si>
    <t xml:space="preserve">072.339.672-88</t>
  </si>
  <si>
    <t xml:space="preserve">ANTONIO WANDERLAN SILVA DOS SANTOS</t>
  </si>
  <si>
    <t xml:space="preserve">096.076.322-81</t>
  </si>
  <si>
    <t xml:space="preserve">BRENO DE CASTRO RAYOL </t>
  </si>
  <si>
    <t xml:space="preserve">084.489.942-99</t>
  </si>
  <si>
    <t xml:space="preserve">CLEBSON CORDEIRO MATOS </t>
  </si>
  <si>
    <t xml:space="preserve">712.616.882-95</t>
  </si>
  <si>
    <t xml:space="preserve">DINAEL CAROLINO DA SILVA </t>
  </si>
  <si>
    <t xml:space="preserve">107.139.842-36</t>
  </si>
  <si>
    <t xml:space="preserve">EDEN SILVA DA SILVA</t>
  </si>
  <si>
    <t xml:space="preserve">077.907.612-50</t>
  </si>
  <si>
    <t xml:space="preserve">ERIVAN SOUSA DO ROSARIO</t>
  </si>
  <si>
    <t xml:space="preserve">711.717.152-93</t>
  </si>
  <si>
    <t xml:space="preserve">FRANCISCO FRANCA DE SOUZA</t>
  </si>
  <si>
    <t xml:space="preserve">040.493.662-82</t>
  </si>
  <si>
    <t xml:space="preserve">NOMES DOS PAIS</t>
  </si>
  <si>
    <t xml:space="preserve">GABRIEL CORPES LOURENÇO</t>
  </si>
  <si>
    <t xml:space="preserve">967.228.002-53</t>
  </si>
  <si>
    <t xml:space="preserve">GEOVANE CHUMBER DE OLIVEIRA</t>
  </si>
  <si>
    <t xml:space="preserve">JEAN ARAUJO DA SILVA</t>
  </si>
  <si>
    <t xml:space="preserve">078.693.942-70</t>
  </si>
  <si>
    <t xml:space="preserve">JOSE IRAN BRITO DA SILVA</t>
  </si>
  <si>
    <t xml:space="preserve">019.542.822-65</t>
  </si>
  <si>
    <t xml:space="preserve">LUIS SOARES DO NASCIMENTO </t>
  </si>
  <si>
    <t xml:space="preserve">026.308.672-00</t>
  </si>
  <si>
    <t xml:space="preserve">ATIVO</t>
  </si>
  <si>
    <t xml:space="preserve">MARCOS VINICIUS DE OLIVEIRA PINHEIRO</t>
  </si>
  <si>
    <t xml:space="preserve">087.896.762-11</t>
  </si>
  <si>
    <t xml:space="preserve">MAX DHO SILVA DO NASCIMENTO</t>
  </si>
  <si>
    <t xml:space="preserve">064.047.032-70</t>
  </si>
  <si>
    <t xml:space="preserve">MAYCON JESSI FERNANDES AZEVEDO</t>
  </si>
  <si>
    <t xml:space="preserve">MAYCON WENDESON DA SILVA DO CARMO</t>
  </si>
  <si>
    <t xml:space="preserve">077.915.312-08</t>
  </si>
  <si>
    <t xml:space="preserve">OSVALDO ELIOMAR DE SOUSA</t>
  </si>
  <si>
    <t xml:space="preserve">013.744.422-24</t>
  </si>
  <si>
    <t xml:space="preserve">ROSIVALDO MALCHER BORGES</t>
  </si>
  <si>
    <t xml:space="preserve">024.434.532-51</t>
  </si>
  <si>
    <t xml:space="preserve">SANDER WESLLEY DO NASCIMENTO</t>
  </si>
  <si>
    <t xml:space="preserve">058.518.912-97</t>
  </si>
  <si>
    <t xml:space="preserve">TAIRONE PONTES COSTA</t>
  </si>
  <si>
    <t xml:space="preserve">028.308.912-10</t>
  </si>
  <si>
    <t xml:space="preserve">VITOR FERREIRA DOS REIS</t>
  </si>
  <si>
    <t xml:space="preserve">089.778.482-02</t>
  </si>
  <si>
    <t xml:space="preserve">ADRIANO JOSE DA SILVA</t>
  </si>
  <si>
    <t xml:space="preserve">LAGOA DE ITAENGA</t>
  </si>
  <si>
    <t xml:space="preserve">700.682.194-07</t>
  </si>
  <si>
    <t xml:space="preserve">14 DE JULHO DE 2025</t>
  </si>
  <si>
    <t xml:space="preserve">ALDO JOSE DA SILVA FILHO</t>
  </si>
  <si>
    <t xml:space="preserve">067.914.474-94</t>
  </si>
  <si>
    <t xml:space="preserve">26032002003-3</t>
  </si>
  <si>
    <t xml:space="preserve">CARLOS DANIEL GALDINO DOS SANTOS GOMES</t>
  </si>
  <si>
    <t xml:space="preserve">173.508.684-30</t>
  </si>
  <si>
    <t xml:space="preserve">DANRLEY DE AMORIM SILVA</t>
  </si>
  <si>
    <t xml:space="preserve">702.000.524-11</t>
  </si>
  <si>
    <t xml:space="preserve">DERIVAN SEABRA BELEM</t>
  </si>
  <si>
    <t xml:space="preserve">089.233.282-43</t>
  </si>
  <si>
    <t xml:space="preserve">ELIZOBERTO BARROS CORREIA</t>
  </si>
  <si>
    <t xml:space="preserve">531.464.254-91</t>
  </si>
  <si>
    <t xml:space="preserve">BANCO</t>
  </si>
  <si>
    <t xml:space="preserve">ERLYSON ALEXANDRE DA SILVA</t>
  </si>
  <si>
    <t xml:space="preserve">721.039.104-51</t>
  </si>
  <si>
    <t xml:space="preserve">FABIO JOSE CODECEIRA DE ARAUJO</t>
  </si>
  <si>
    <t xml:space="preserve">082.042.534-60</t>
  </si>
  <si>
    <t xml:space="preserve">FABRICIO FELIPE DA SILVA GOMES PEREIRA</t>
  </si>
  <si>
    <t xml:space="preserve">709.675.584-50</t>
  </si>
  <si>
    <t xml:space="preserve">GLAUCIO VIEIRA DA SILVA</t>
  </si>
  <si>
    <t xml:space="preserve">014.951.334-86</t>
  </si>
  <si>
    <t xml:space="preserve">GUILHERME RODRIGUES SOARES DA SILVA</t>
  </si>
  <si>
    <t xml:space="preserve">177.600.794-86</t>
  </si>
  <si>
    <t xml:space="preserve">JOAO CASTRO SANTA BRIGIDA</t>
  </si>
  <si>
    <t xml:space="preserve">026.538.312-95</t>
  </si>
  <si>
    <t xml:space="preserve">JONAS ANTONIO DE SANTANA LUCIANO</t>
  </si>
  <si>
    <t xml:space="preserve">720.399.664-63</t>
  </si>
  <si>
    <t xml:space="preserve">JOSE TALVANE DE MATOS JUNIOR</t>
  </si>
  <si>
    <t xml:space="preserve">011.922.084-98</t>
  </si>
  <si>
    <t xml:space="preserve">KAUA VITOR DA SILVA CORREIA</t>
  </si>
  <si>
    <t xml:space="preserve">165.083.184-62</t>
  </si>
  <si>
    <t xml:space="preserve">165083184-62</t>
  </si>
  <si>
    <t xml:space="preserve">KAUAN VITOR DE ANDRADE</t>
  </si>
  <si>
    <t xml:space="preserve">140.847.704-18</t>
  </si>
  <si>
    <t xml:space="preserve">KEVIN SALUSTIANO DA SILVA</t>
  </si>
  <si>
    <t xml:space="preserve">143.172.994-96</t>
  </si>
  <si>
    <t xml:space="preserve">LEONARDO GERMANDO LINS</t>
  </si>
  <si>
    <t xml:space="preserve">070.399.034-90</t>
  </si>
  <si>
    <t xml:space="preserve">EXTRATO</t>
  </si>
  <si>
    <t xml:space="preserve">LUAN ANTONIO BEZERRA DA SILVA</t>
  </si>
  <si>
    <t xml:space="preserve">117.763.174-16</t>
  </si>
  <si>
    <t xml:space="preserve">LUIZ HENRIQUE DE OLIVEIRA</t>
  </si>
  <si>
    <t xml:space="preserve">123.532.894-52</t>
  </si>
  <si>
    <t xml:space="preserve">MATHEUS GOMES DA SILVA</t>
  </si>
  <si>
    <t xml:space="preserve">154.751.024-22</t>
  </si>
  <si>
    <t xml:space="preserve">MATHEUS LUCAS ANTONIO DA SILVA</t>
  </si>
  <si>
    <t xml:space="preserve">713.149.324-46</t>
  </si>
  <si>
    <t xml:space="preserve">NILSON PEDRO DA SILVA NETO</t>
  </si>
  <si>
    <t xml:space="preserve">173.889.634-05</t>
  </si>
  <si>
    <t xml:space="preserve">PAULO GABRIEL PEREIRA DA SILVA</t>
  </si>
  <si>
    <t xml:space="preserve">715.894.694-02</t>
  </si>
  <si>
    <t xml:space="preserve">715894694-02</t>
  </si>
  <si>
    <t xml:space="preserve">PAULO RICARDO LIMA DA SILVA</t>
  </si>
  <si>
    <t xml:space="preserve">002.490.694-82</t>
  </si>
  <si>
    <t xml:space="preserve">PAULO VITOR ALVES </t>
  </si>
  <si>
    <t xml:space="preserve">083.070.824-39</t>
  </si>
  <si>
    <t xml:space="preserve">RODRIGO JOSE SEVERINO DA SILVA</t>
  </si>
  <si>
    <t xml:space="preserve">055.134.614-04</t>
  </si>
  <si>
    <t xml:space="preserve">RONALTH HENRIQUE DA SILVA</t>
  </si>
  <si>
    <t xml:space="preserve">086.029.824-88</t>
  </si>
  <si>
    <t xml:space="preserve">SERGIO PEREIRA LIMA</t>
  </si>
  <si>
    <t xml:space="preserve">703.302.354-51</t>
  </si>
  <si>
    <t xml:space="preserve">VICTOR HUGO TAVARES DOS SANTOS</t>
  </si>
  <si>
    <t xml:space="preserve">097.140.604-94</t>
  </si>
  <si>
    <r>
      <rPr>
        <b val="true"/>
        <sz val="11"/>
        <color rgb="FFFF0000"/>
        <rFont val="Calibri"/>
        <family val="2"/>
        <charset val="1"/>
      </rPr>
      <t xml:space="preserve">  </t>
    </r>
    <r>
      <rPr>
        <b val="true"/>
        <sz val="11"/>
        <color theme="1"/>
        <rFont val="Calibri"/>
        <family val="2"/>
        <charset val="1"/>
      </rPr>
      <t xml:space="preserve">                              RELAÇÃO EMBARQUE  COLABORADORES SAFRA  2025 / 2026 CONDIMINIO PRATA MG</t>
    </r>
  </si>
  <si>
    <t xml:space="preserve">EQUIPE: JOSE ADEILSON SILVA LIMA</t>
  </si>
  <si>
    <t xml:space="preserve">ADAO ZACARIAS DE MATOS</t>
  </si>
  <si>
    <t xml:space="preserve">SAO JOSE DA TAPERA</t>
  </si>
  <si>
    <t xml:space="preserve">053.711.064-05</t>
  </si>
  <si>
    <t xml:space="preserve">20010040893-88</t>
  </si>
  <si>
    <t xml:space="preserve">08 DE AGOSTO DE 2025</t>
  </si>
  <si>
    <t xml:space="preserve">AELSON DOS SANTOS</t>
  </si>
  <si>
    <t xml:space="preserve">106.324.714-41</t>
  </si>
  <si>
    <t xml:space="preserve">106324714-41</t>
  </si>
  <si>
    <t xml:space="preserve">ALTAMIRO DA SILVA SANTOS</t>
  </si>
  <si>
    <t xml:space="preserve">110.008.084-83</t>
  </si>
  <si>
    <t xml:space="preserve">67592460-1</t>
  </si>
  <si>
    <t xml:space="preserve">CARLOS BRUNO ALVES</t>
  </si>
  <si>
    <t xml:space="preserve">140.158.404-70</t>
  </si>
  <si>
    <t xml:space="preserve">4194159-4</t>
  </si>
  <si>
    <t xml:space="preserve">CARLOS VAGNER MELO PIANO</t>
  </si>
  <si>
    <t xml:space="preserve">379.223.248-04</t>
  </si>
  <si>
    <t xml:space="preserve">3662862-0</t>
  </si>
  <si>
    <t xml:space="preserve">CLAUDEVAN DA SILVA DE FRANÇA</t>
  </si>
  <si>
    <t xml:space="preserve">060.927.474-05</t>
  </si>
  <si>
    <t xml:space="preserve">09514916-3</t>
  </si>
  <si>
    <t xml:space="preserve">CLEONILTON GADI LIMA</t>
  </si>
  <si>
    <t xml:space="preserve">054.011.975-00</t>
  </si>
  <si>
    <t xml:space="preserve">16503293-69</t>
  </si>
  <si>
    <t xml:space="preserve">DJANIO BARBOSA DOS SANTOS</t>
  </si>
  <si>
    <t xml:space="preserve">152.442.364-58</t>
  </si>
  <si>
    <t xml:space="preserve">152442364-58</t>
  </si>
  <si>
    <t xml:space="preserve">EDUARDO RODRIGUES DOS SANTOS</t>
  </si>
  <si>
    <t xml:space="preserve">105.114.195-89</t>
  </si>
  <si>
    <t xml:space="preserve">23053495-30</t>
  </si>
  <si>
    <t xml:space="preserve">FRANCISCO FERREIRA DE SOUZA</t>
  </si>
  <si>
    <t xml:space="preserve">094.322.014-90</t>
  </si>
  <si>
    <t xml:space="preserve">3384172-1</t>
  </si>
  <si>
    <t xml:space="preserve">GISELDO DOS SANTOS BEZERRA</t>
  </si>
  <si>
    <t xml:space="preserve">062.286.684-20</t>
  </si>
  <si>
    <t xml:space="preserve">3031537-9</t>
  </si>
  <si>
    <t xml:space="preserve">JANIO BARBOSA DOS SANTOS</t>
  </si>
  <si>
    <t xml:space="preserve">150.550.544-50</t>
  </si>
  <si>
    <t xml:space="preserve">150550544-50</t>
  </si>
  <si>
    <t xml:space="preserve">JOAO VICTOR SILVA</t>
  </si>
  <si>
    <t xml:space="preserve">150.151.264-17</t>
  </si>
  <si>
    <t xml:space="preserve">150151264-17</t>
  </si>
  <si>
    <t xml:space="preserve">JOSE ADAILTON DE LIMA</t>
  </si>
  <si>
    <t xml:space="preserve">150.588.764-00</t>
  </si>
  <si>
    <t xml:space="preserve">4336036-0</t>
  </si>
  <si>
    <t xml:space="preserve">JOSE ADEILSON SILVA LIMA</t>
  </si>
  <si>
    <t xml:space="preserve">141.599.664-46</t>
  </si>
  <si>
    <t xml:space="preserve">JOSE AUGUSTO PEREIRA DA SILVA</t>
  </si>
  <si>
    <t xml:space="preserve">040.356.814-58</t>
  </si>
  <si>
    <t xml:space="preserve">JOSE CARLOS DA SILVA BARBOSA </t>
  </si>
  <si>
    <t xml:space="preserve">OLHO D'AGUA DAS FLORES</t>
  </si>
  <si>
    <t xml:space="preserve">099.424.864-45</t>
  </si>
  <si>
    <t xml:space="preserve">3433062-3</t>
  </si>
  <si>
    <t xml:space="preserve">JOSE CLEISSON DE FRANÇA VIEIRA</t>
  </si>
  <si>
    <t xml:space="preserve">122.867.724-79</t>
  </si>
  <si>
    <t xml:space="preserve">JOSE CLETO DOS SANTOS</t>
  </si>
  <si>
    <t xml:space="preserve">092.221.224-45</t>
  </si>
  <si>
    <t xml:space="preserve">3200702-7</t>
  </si>
  <si>
    <t xml:space="preserve">JOSE FABIO PEREIRA LIMA</t>
  </si>
  <si>
    <t xml:space="preserve">113.841.194-93</t>
  </si>
  <si>
    <t xml:space="preserve">JOSE FRANCISCO SOUSA DA PAZ</t>
  </si>
  <si>
    <t xml:space="preserve">080.216.564-84</t>
  </si>
  <si>
    <t xml:space="preserve">080216564-84</t>
  </si>
  <si>
    <t xml:space="preserve">JOSE JAQUES PEREIRA</t>
  </si>
  <si>
    <t xml:space="preserve">138.437.934-76</t>
  </si>
  <si>
    <t xml:space="preserve">JOSE MARCOS MELO PIANO</t>
  </si>
  <si>
    <t xml:space="preserve">106.558.254-44</t>
  </si>
  <si>
    <t xml:space="preserve">4390925-6</t>
  </si>
  <si>
    <t xml:space="preserve">JOSE OTAVIO RODRIGUES DA SILVA</t>
  </si>
  <si>
    <t xml:space="preserve">149.018.264-09</t>
  </si>
  <si>
    <t xml:space="preserve">JOSE RONIO PANTA</t>
  </si>
  <si>
    <t xml:space="preserve">105.967.594-36</t>
  </si>
  <si>
    <t xml:space="preserve">3543137-7</t>
  </si>
  <si>
    <t xml:space="preserve">JULIO CESAR SANTOS ROSENDO</t>
  </si>
  <si>
    <t xml:space="preserve">709.983.314-65</t>
  </si>
  <si>
    <t xml:space="preserve">69379477-X</t>
  </si>
  <si>
    <t xml:space="preserve">LUCAS DA COSTA PEREIRA</t>
  </si>
  <si>
    <t xml:space="preserve">710.969.914-54</t>
  </si>
  <si>
    <t xml:space="preserve">4027327-0</t>
  </si>
  <si>
    <t xml:space="preserve">MARCOS ANTONIO DOS SANTOS</t>
  </si>
  <si>
    <t xml:space="preserve">048.922.504-73</t>
  </si>
  <si>
    <t xml:space="preserve">MONIEL OTAVIO RODRIGUES</t>
  </si>
  <si>
    <t xml:space="preserve">720.588.744-55</t>
  </si>
  <si>
    <t xml:space="preserve">SILVIO FERREIRA DE FRANÇA</t>
  </si>
  <si>
    <t xml:space="preserve">060.677.635-40</t>
  </si>
  <si>
    <t xml:space="preserve">4028983-4</t>
  </si>
  <si>
    <t xml:space="preserve">WANDERSON SILVA DOS SANTOS</t>
  </si>
  <si>
    <t xml:space="preserve">150.544.984-78</t>
  </si>
  <si>
    <t xml:space="preserve">EQUIPE: LUCIANO DOS SANTOS</t>
  </si>
  <si>
    <t xml:space="preserve">ALDREY ANDERSON VIANA DOS SANTOS</t>
  </si>
  <si>
    <t xml:space="preserve">146.477.134-07</t>
  </si>
  <si>
    <t xml:space="preserve">13 DE AGOSTO DE 2025</t>
  </si>
  <si>
    <t xml:space="preserve">ANAILTON RODRIGUES TORRES</t>
  </si>
  <si>
    <t xml:space="preserve">153.460.634-39</t>
  </si>
  <si>
    <t xml:space="preserve">BRUNO ACIOLE DE OLIVEIRA BRITO</t>
  </si>
  <si>
    <t xml:space="preserve">134.971.654-50</t>
  </si>
  <si>
    <t xml:space="preserve">134971654-50</t>
  </si>
  <si>
    <t xml:space="preserve">BRUNO DA SILVA</t>
  </si>
  <si>
    <t xml:space="preserve">094.131.254-22</t>
  </si>
  <si>
    <t xml:space="preserve">3676774-3</t>
  </si>
  <si>
    <t xml:space="preserve">BRUNO DUARTE LISBOA</t>
  </si>
  <si>
    <t xml:space="preserve">708.917.004-71</t>
  </si>
  <si>
    <t xml:space="preserve">3561402-1</t>
  </si>
  <si>
    <t xml:space="preserve">CELICIO DOS SANTOS JUNIOR</t>
  </si>
  <si>
    <t xml:space="preserve">135.407.244-86</t>
  </si>
  <si>
    <t xml:space="preserve">DAVID DA SILVA HONORIO</t>
  </si>
  <si>
    <t xml:space="preserve">137.709.594-00</t>
  </si>
  <si>
    <t xml:space="preserve">4068728-7</t>
  </si>
  <si>
    <t xml:space="preserve">DAVID FELIPE DOS SANTOS SILVA</t>
  </si>
  <si>
    <t xml:space="preserve">113.609.104-17</t>
  </si>
  <si>
    <t xml:space="preserve">DOMINI DA SILVA HONORIO</t>
  </si>
  <si>
    <t xml:space="preserve">151.406.924-57</t>
  </si>
  <si>
    <t xml:space="preserve">4276629-0</t>
  </si>
  <si>
    <t xml:space="preserve">EDIMAR PEREIRA SANTOS</t>
  </si>
  <si>
    <t xml:space="preserve">060.658.574-59</t>
  </si>
  <si>
    <t xml:space="preserve">3067331-3</t>
  </si>
  <si>
    <t xml:space="preserve">FELIPE ALVES DOS SANTOS</t>
  </si>
  <si>
    <t xml:space="preserve">150.357.364-82</t>
  </si>
  <si>
    <t xml:space="preserve">67183881-7</t>
  </si>
  <si>
    <t xml:space="preserve">FRANCISCO DOS SANTOS SILVA</t>
  </si>
  <si>
    <t xml:space="preserve">051.197.184-26</t>
  </si>
  <si>
    <t xml:space="preserve">051197184-26</t>
  </si>
  <si>
    <t xml:space="preserve">GERONCIO DOS SANTOS MOURA</t>
  </si>
  <si>
    <t xml:space="preserve">493.177.008-88</t>
  </si>
  <si>
    <t xml:space="preserve">4436410-5</t>
  </si>
  <si>
    <t xml:space="preserve">GIVANILDO DOS SANTOS SILVA</t>
  </si>
  <si>
    <t xml:space="preserve">061.407.024-45</t>
  </si>
  <si>
    <t xml:space="preserve">3297659-3</t>
  </si>
  <si>
    <t xml:space="preserve">HENALDO TIMOTEO DA SILVA</t>
  </si>
  <si>
    <t xml:space="preserve">050.512.574-96</t>
  </si>
  <si>
    <t xml:space="preserve">ISNALDO TIMOTEO DA SILVA</t>
  </si>
  <si>
    <t xml:space="preserve">144.281.284-28</t>
  </si>
  <si>
    <t xml:space="preserve">3754913-8</t>
  </si>
  <si>
    <t xml:space="preserve">ITAMAR DE FREITAS SANTOS</t>
  </si>
  <si>
    <t xml:space="preserve">083.214.394-46</t>
  </si>
  <si>
    <t xml:space="preserve">3228049-1</t>
  </si>
  <si>
    <t xml:space="preserve">JAILTON HIGINO DE ALMEIDA</t>
  </si>
  <si>
    <t xml:space="preserve">958.251-934-72</t>
  </si>
  <si>
    <t xml:space="preserve">JOEDSON HENRIQUE AUGUSTO DOS SANTOS</t>
  </si>
  <si>
    <t xml:space="preserve">115.855.704-35</t>
  </si>
  <si>
    <t xml:space="preserve">115855704-35</t>
  </si>
  <si>
    <t xml:space="preserve">JOEL DOS SANTOS LIMA</t>
  </si>
  <si>
    <t xml:space="preserve">187.981.457-97</t>
  </si>
  <si>
    <t xml:space="preserve">JOSE ALEXANDRE DE SOUSA</t>
  </si>
  <si>
    <t xml:space="preserve">067.339.664-92</t>
  </si>
  <si>
    <t xml:space="preserve">JOSE BONIFACIO SANTOS DA SILVA</t>
  </si>
  <si>
    <t xml:space="preserve">151.560.594-90</t>
  </si>
  <si>
    <t xml:space="preserve">4241220-0</t>
  </si>
  <si>
    <t xml:space="preserve">JOSE CARLOS DO NASCIMENTO MENEZES</t>
  </si>
  <si>
    <t xml:space="preserve">097.639.474-05</t>
  </si>
  <si>
    <t xml:space="preserve">4246149-9</t>
  </si>
  <si>
    <t xml:space="preserve">JOSE CRISTIANO GOES PEREIRA</t>
  </si>
  <si>
    <t xml:space="preserve">128.765.654-47</t>
  </si>
  <si>
    <t xml:space="preserve">3993570-1</t>
  </si>
  <si>
    <t xml:space="preserve">JOSE INACIO DOS SANTOS</t>
  </si>
  <si>
    <t xml:space="preserve">057.090.504-40</t>
  </si>
  <si>
    <t xml:space="preserve">3674414-0</t>
  </si>
  <si>
    <t xml:space="preserve">JOSE WILIAN LIMA DA CONCEIÇAO</t>
  </si>
  <si>
    <t xml:space="preserve">107.019.424-79</t>
  </si>
  <si>
    <t xml:space="preserve">3995983-0</t>
  </si>
  <si>
    <t xml:space="preserve">JOSEMAR TAVARES DE OLIVEIRA</t>
  </si>
  <si>
    <t xml:space="preserve">124.769.374-01</t>
  </si>
  <si>
    <t xml:space="preserve">124769374-01</t>
  </si>
  <si>
    <t xml:space="preserve">LUCIANO DOS SANTOS</t>
  </si>
  <si>
    <t xml:space="preserve">048.504.224-03</t>
  </si>
  <si>
    <t xml:space="preserve">MANOEL ALVES ALCANTARA</t>
  </si>
  <si>
    <t xml:space="preserve">108.014.244-45</t>
  </si>
  <si>
    <t xml:space="preserve">MANOEL SILVA DOS SANTOS</t>
  </si>
  <si>
    <t xml:space="preserve">057.203.964-62</t>
  </si>
  <si>
    <t xml:space="preserve">MURILO DOS SANTOS LIMA</t>
  </si>
  <si>
    <t xml:space="preserve">113.042.254-29</t>
  </si>
  <si>
    <t xml:space="preserve">55635472-2</t>
  </si>
  <si>
    <t xml:space="preserve">NELSON PEREIRA DOS SANTOS</t>
  </si>
  <si>
    <t xml:space="preserve">102.233.244-93</t>
  </si>
  <si>
    <t xml:space="preserve">3612213-0</t>
  </si>
  <si>
    <t xml:space="preserve">RENAN PEREIRA COSTA</t>
  </si>
  <si>
    <t xml:space="preserve">075.184.544-24</t>
  </si>
  <si>
    <t xml:space="preserve">075184544-24</t>
  </si>
  <si>
    <t xml:space="preserve">RODRIGO DE ANDRADE VIANA</t>
  </si>
  <si>
    <t xml:space="preserve">721.151.544-95</t>
  </si>
  <si>
    <t xml:space="preserve">ROMARIO BEZERRA SILVA</t>
  </si>
  <si>
    <t xml:space="preserve">090.201.664-41</t>
  </si>
  <si>
    <t xml:space="preserve">56114004-2</t>
  </si>
  <si>
    <t xml:space="preserve">THALISSON COSTA RIBEIRO</t>
  </si>
  <si>
    <t xml:space="preserve">403.414.338-02</t>
  </si>
  <si>
    <t xml:space="preserve">46579876-7</t>
  </si>
  <si>
    <t xml:space="preserve">VICTOR LUIS PEREIRA SAMPAIO</t>
  </si>
  <si>
    <t xml:space="preserve">129.004.404-08</t>
  </si>
  <si>
    <t xml:space="preserve">4041042-0</t>
  </si>
  <si>
    <t xml:space="preserve">VICTOR MANOEL SANTOS ROCHA</t>
  </si>
  <si>
    <t xml:space="preserve">152.843.744-60</t>
  </si>
  <si>
    <t xml:space="preserve">152843744-60</t>
  </si>
  <si>
    <t xml:space="preserve">WESLEY CARLOS DA CONCEIÇAO SOUZA</t>
  </si>
  <si>
    <t xml:space="preserve">129.180.414-59</t>
  </si>
  <si>
    <t xml:space="preserve">4005092-0</t>
  </si>
  <si>
    <t xml:space="preserve">WILTON ALVES DE LIMA</t>
  </si>
  <si>
    <t xml:space="preserve">091.719.194-30</t>
  </si>
  <si>
    <t xml:space="preserve">3549655-0</t>
  </si>
  <si>
    <t xml:space="preserve">EQUIPE: JOSE CICERO</t>
  </si>
  <si>
    <t xml:space="preserve">ADRIANO ARAUJO VIEIRA DE FREITAS</t>
  </si>
  <si>
    <t xml:space="preserve">NOVO ORIENTE DO PIAUI</t>
  </si>
  <si>
    <t xml:space="preserve">PI</t>
  </si>
  <si>
    <t xml:space="preserve">391.339.198-36</t>
  </si>
  <si>
    <t xml:space="preserve">5348911-8</t>
  </si>
  <si>
    <t xml:space="preserve">18 DE AGOSTO DE 2025</t>
  </si>
  <si>
    <t xml:space="preserve">ADRIEL RODRIGUES DA SILVA</t>
  </si>
  <si>
    <t xml:space="preserve">115.925.893-75</t>
  </si>
  <si>
    <t xml:space="preserve">ALCIDES DIAS  DA COSTA NETO</t>
  </si>
  <si>
    <t xml:space="preserve">052.826.143-67</t>
  </si>
  <si>
    <t xml:space="preserve">052826143-67</t>
  </si>
  <si>
    <t xml:space="preserve">ANDRE LIMA DA COSTA</t>
  </si>
  <si>
    <t xml:space="preserve">066.925.013-93</t>
  </si>
  <si>
    <t xml:space="preserve">066925013-93</t>
  </si>
  <si>
    <t xml:space="preserve">ANTONIO BALDUINO DE SOUSA CONCEIÇAO</t>
  </si>
  <si>
    <t xml:space="preserve">VALENÇA DO PIAUI</t>
  </si>
  <si>
    <t xml:space="preserve">048.468.203-27</t>
  </si>
  <si>
    <t xml:space="preserve">048468203-27</t>
  </si>
  <si>
    <t xml:space="preserve">ANTONIO DIVINO DO ESPIRITO SANTO</t>
  </si>
  <si>
    <t xml:space="preserve">FLORIANO</t>
  </si>
  <si>
    <t xml:space="preserve">618.704.363-42</t>
  </si>
  <si>
    <t xml:space="preserve">CESAR AUGUSTO EDUARDO DA SILVA</t>
  </si>
  <si>
    <t xml:space="preserve">045.921.623-66</t>
  </si>
  <si>
    <t xml:space="preserve">045921623-66</t>
  </si>
  <si>
    <t xml:space="preserve">DAVID WALLISSON ALVES DA SILVA</t>
  </si>
  <si>
    <t xml:space="preserve">085.137.743-24</t>
  </si>
  <si>
    <t xml:space="preserve">DIESLEY DA SILVA</t>
  </si>
  <si>
    <t xml:space="preserve">063.396.841-22</t>
  </si>
  <si>
    <t xml:space="preserve">063396841-22</t>
  </si>
  <si>
    <t xml:space="preserve">FELIPE DA SILVA</t>
  </si>
  <si>
    <t xml:space="preserve">057.354-383-60</t>
  </si>
  <si>
    <t xml:space="preserve">FLAVIO HENRIQUE PAULINO DOS SANTOS</t>
  </si>
  <si>
    <t xml:space="preserve">618.704.413-46</t>
  </si>
  <si>
    <t xml:space="preserve">FLAVIO VINICIUS FERREIRA DA SILVA</t>
  </si>
  <si>
    <t xml:space="preserve">097.684.723-08</t>
  </si>
  <si>
    <t xml:space="preserve">FRANCISCO DJALMA LIMA DA ROCHA</t>
  </si>
  <si>
    <t xml:space="preserve">065.596.173-94</t>
  </si>
  <si>
    <t xml:space="preserve">64071639-8</t>
  </si>
  <si>
    <t xml:space="preserve">FRANCISCO GOMES DE LIMA</t>
  </si>
  <si>
    <t xml:space="preserve">032.146.443-51</t>
  </si>
  <si>
    <t xml:space="preserve">FRANCISCO LAERTE DOS SANTOS</t>
  </si>
  <si>
    <t xml:space="preserve">004.032.763-90</t>
  </si>
  <si>
    <t xml:space="preserve">63227776-2</t>
  </si>
  <si>
    <t xml:space="preserve">FRANCISCO MIKAEL DA SILVA DOS SANTOS</t>
  </si>
  <si>
    <t xml:space="preserve">099.573.713-47</t>
  </si>
  <si>
    <t xml:space="preserve">099573713-47</t>
  </si>
  <si>
    <t xml:space="preserve">GABRIEL SOARES DA SILVA</t>
  </si>
  <si>
    <t xml:space="preserve">104.790.633-38</t>
  </si>
  <si>
    <t xml:space="preserve">104709633-38</t>
  </si>
  <si>
    <t xml:space="preserve">GENILSON PARAIBA DOS ANJOS</t>
  </si>
  <si>
    <t xml:space="preserve">101.611.663-26</t>
  </si>
  <si>
    <t xml:space="preserve">101611663-26</t>
  </si>
  <si>
    <t xml:space="preserve">GENILSON PINHEIRO DOS SANTOS</t>
  </si>
  <si>
    <t xml:space="preserve">082.649.243-60</t>
  </si>
  <si>
    <t xml:space="preserve">082649243-60</t>
  </si>
  <si>
    <t xml:space="preserve">HENRIQUE EVANGELISTA ALMEIDA</t>
  </si>
  <si>
    <t xml:space="preserve">093.699.063-55</t>
  </si>
  <si>
    <t xml:space="preserve">093699063-55</t>
  </si>
  <si>
    <t xml:space="preserve">ISMAEL CARLOS FERREIRA LIMA</t>
  </si>
  <si>
    <t xml:space="preserve">050.017.713-90</t>
  </si>
  <si>
    <t xml:space="preserve">050017713-90</t>
  </si>
  <si>
    <t xml:space="preserve">IVO RODRIGUES DE SOUSA NETO</t>
  </si>
  <si>
    <t xml:space="preserve">636.048.553-22</t>
  </si>
  <si>
    <t xml:space="preserve">636048553-22</t>
  </si>
  <si>
    <t xml:space="preserve">JADSON CARLOS PEREIRA DA SILVA</t>
  </si>
  <si>
    <t xml:space="preserve">087.977.263-89</t>
  </si>
  <si>
    <t xml:space="preserve">JADSON PINHEIRO DOS SANTOS</t>
  </si>
  <si>
    <t xml:space="preserve">087.396.053-02</t>
  </si>
  <si>
    <t xml:space="preserve">087396053-02</t>
  </si>
  <si>
    <t xml:space="preserve">JEOVA BARBOSA DE SOUSA</t>
  </si>
  <si>
    <t xml:space="preserve">108.450.293-39</t>
  </si>
  <si>
    <t xml:space="preserve">108405293-39</t>
  </si>
  <si>
    <t xml:space="preserve">JOSE CICERO DE SOUSA FILHO</t>
  </si>
  <si>
    <t xml:space="preserve">010.680.933-40</t>
  </si>
  <si>
    <t xml:space="preserve">JOSE GENARIO DOS SANTOS NUNES</t>
  </si>
  <si>
    <t xml:space="preserve">082.754.713-70</t>
  </si>
  <si>
    <t xml:space="preserve">JOSE LAILSON LIMA DA ROCHA</t>
  </si>
  <si>
    <t xml:space="preserve">084.237.833-24</t>
  </si>
  <si>
    <t xml:space="preserve">JULIMAR DA SILVA SOARES</t>
  </si>
  <si>
    <t xml:space="preserve">084.089.903-30</t>
  </si>
  <si>
    <t xml:space="preserve">LEKASSYO ARAUJO DA SILVA</t>
  </si>
  <si>
    <t xml:space="preserve">090.703.433-04</t>
  </si>
  <si>
    <t xml:space="preserve">LINDOMAR BARBOSA DE SOUSA</t>
  </si>
  <si>
    <t xml:space="preserve">050.611.813-44</t>
  </si>
  <si>
    <t xml:space="preserve">LUIZ LEONARDO DA SILVA BEZERRA</t>
  </si>
  <si>
    <t xml:space="preserve">063.425.033-70</t>
  </si>
  <si>
    <t xml:space="preserve">68165780-7</t>
  </si>
  <si>
    <t xml:space="preserve">MARCELO PEREIRA DA SILVA</t>
  </si>
  <si>
    <t xml:space="preserve">945.743.323-87</t>
  </si>
  <si>
    <t xml:space="preserve">ROBERTO MENDES DA SILVA</t>
  </si>
  <si>
    <t xml:space="preserve">019.010.863-05</t>
  </si>
  <si>
    <t xml:space="preserve">64104975-4</t>
  </si>
  <si>
    <t xml:space="preserve">RODRIGO ROSA DA CONCEIÇAO</t>
  </si>
  <si>
    <t xml:space="preserve">087.448.433-21</t>
  </si>
  <si>
    <t xml:space="preserve">ROMARIO DA SILVA BEZERRA</t>
  </si>
  <si>
    <t xml:space="preserve">083.135.173-01</t>
  </si>
  <si>
    <t xml:space="preserve">TAYLISON DAS CHAGAS DO NASCIMENTO</t>
  </si>
  <si>
    <t xml:space="preserve">014.995-823-40</t>
  </si>
  <si>
    <t xml:space="preserve">URBANO FERREIRA DOS SANTOS NETO</t>
  </si>
  <si>
    <t xml:space="preserve">022.246.353-89</t>
  </si>
  <si>
    <t xml:space="preserve">022246353-89</t>
  </si>
  <si>
    <t xml:space="preserve">VALENÇA</t>
  </si>
  <si>
    <t xml:space="preserve">ARY DANTAS DE MOURA JUNIOR</t>
  </si>
  <si>
    <t xml:space="preserve">082.045.343-96</t>
  </si>
  <si>
    <t xml:space="preserve">CARLOS DANIEL BARBOSA DE SOUSA</t>
  </si>
  <si>
    <t xml:space="preserve">107.677.803-88</t>
  </si>
  <si>
    <t xml:space="preserve">FRANCISCO LAERTE DOS SANTOS NUNES</t>
  </si>
  <si>
    <t xml:space="preserve">GILVAN ALVES DA SILVA</t>
  </si>
  <si>
    <t xml:space="preserve">404.513.708-48</t>
  </si>
  <si>
    <t xml:space="preserve">31670906-2</t>
  </si>
  <si>
    <t xml:space="preserve">DAVID MARTINS DA SILVA</t>
  </si>
  <si>
    <t xml:space="preserve">718.179.744-16</t>
  </si>
  <si>
    <t xml:space="preserve">4109878-1</t>
  </si>
  <si>
    <t xml:space="preserve">ELIELSON DO NASCIMENTO SILVA</t>
  </si>
  <si>
    <t xml:space="preserve">109.488.764-17</t>
  </si>
  <si>
    <t xml:space="preserve">109488764-17</t>
  </si>
  <si>
    <t xml:space="preserve">GABRIEL MELO SILVA</t>
  </si>
  <si>
    <t xml:space="preserve">127.239.934-69</t>
  </si>
  <si>
    <t xml:space="preserve">127239934-69</t>
  </si>
  <si>
    <t xml:space="preserve">GLADSTON DE SANTANA SANTOS</t>
  </si>
  <si>
    <t xml:space="preserve">061.359.525-44</t>
  </si>
  <si>
    <t xml:space="preserve">3348229-2</t>
  </si>
  <si>
    <t xml:space="preserve">JANILSON DOS SANTOS SILVA</t>
  </si>
  <si>
    <t xml:space="preserve">135.466.664-02</t>
  </si>
  <si>
    <t xml:space="preserve">135466664-02</t>
  </si>
  <si>
    <t xml:space="preserve">JOSE ANDRE RODRIGUES DOS SANTOS</t>
  </si>
  <si>
    <t xml:space="preserve">710.235.354-59</t>
  </si>
  <si>
    <t xml:space="preserve">710235354-59</t>
  </si>
  <si>
    <t xml:space="preserve">JOSE ROMERCIO DE LIMA SILVA</t>
  </si>
  <si>
    <t xml:space="preserve">091.573.304-84</t>
  </si>
  <si>
    <t xml:space="preserve">LUCAS HENRIQUE SILVA SOUZA</t>
  </si>
  <si>
    <t xml:space="preserve">108.779.205-32</t>
  </si>
  <si>
    <t xml:space="preserve">MARCOS DOS SANTOS SILVA</t>
  </si>
  <si>
    <t xml:space="preserve">712.221.984-44</t>
  </si>
  <si>
    <t xml:space="preserve">66911517-4</t>
  </si>
  <si>
    <t xml:space="preserve">RENIALDO PEREIRA FRANÇA</t>
  </si>
  <si>
    <t xml:space="preserve">153.121.774-58</t>
  </si>
  <si>
    <t xml:space="preserve">67659871-7</t>
  </si>
  <si>
    <t xml:space="preserve">THYERRI DOS SANTOS LIMA</t>
  </si>
  <si>
    <t xml:space="preserve">148.687.584-03</t>
  </si>
  <si>
    <t xml:space="preserve">3915443-2</t>
  </si>
  <si>
    <t xml:space="preserve">VANDICLESTON SILVA DE MATOS</t>
  </si>
  <si>
    <t xml:space="preserve">061.281.204-90</t>
  </si>
  <si>
    <t xml:space="preserve">65106376-0</t>
  </si>
  <si>
    <t xml:space="preserve">EQUIPE: JOSE JUNIOR</t>
  </si>
  <si>
    <t xml:space="preserve">ANTONIO JOSE DA SILVA</t>
  </si>
  <si>
    <t xml:space="preserve">958.428.294-87</t>
  </si>
  <si>
    <t xml:space="preserve">CLEVISON VIANA DOS SANTOS</t>
  </si>
  <si>
    <t xml:space="preserve">713.103.644-78</t>
  </si>
  <si>
    <t xml:space="preserve">4121036-0</t>
  </si>
  <si>
    <t xml:space="preserve">DIOGO MATHEUS SANTOS</t>
  </si>
  <si>
    <t xml:space="preserve">141.964.984-18</t>
  </si>
  <si>
    <t xml:space="preserve">4215933-4</t>
  </si>
  <si>
    <t xml:space="preserve">JAKSON SOARES DA SILVA</t>
  </si>
  <si>
    <t xml:space="preserve">703.556.094-79</t>
  </si>
  <si>
    <t xml:space="preserve">3786203-0</t>
  </si>
  <si>
    <t xml:space="preserve">JEFERSON XAVIER SILVA</t>
  </si>
  <si>
    <t xml:space="preserve">713.050.744-67</t>
  </si>
  <si>
    <t xml:space="preserve">4112213-5</t>
  </si>
  <si>
    <t xml:space="preserve">JOSE IZIDORIO DOS SANTOS</t>
  </si>
  <si>
    <t xml:space="preserve">150.576.484-03</t>
  </si>
  <si>
    <t xml:space="preserve">4366695-7</t>
  </si>
  <si>
    <t xml:space="preserve">JOSE JUNIO DOS SANTOS SILVA</t>
  </si>
  <si>
    <t xml:space="preserve">061.357.694-21</t>
  </si>
  <si>
    <t xml:space="preserve">200100407138-1</t>
  </si>
  <si>
    <t xml:space="preserve">JOSE MARCIO DA SILVA</t>
  </si>
  <si>
    <t xml:space="preserve">042.824.754-71</t>
  </si>
  <si>
    <t xml:space="preserve">LUIS HENRIQUE CORREIA DA SILVA</t>
  </si>
  <si>
    <t xml:space="preserve">716.919.754-51</t>
  </si>
  <si>
    <t xml:space="preserve">4028664-9</t>
  </si>
  <si>
    <t xml:space="preserve">PENDENCIA</t>
  </si>
  <si>
    <t xml:space="preserve">MARCOS AURELIO DOS SANTOS SILVA</t>
  </si>
  <si>
    <t xml:space="preserve">101.909.804-00</t>
  </si>
  <si>
    <t xml:space="preserve">3145165-9</t>
  </si>
  <si>
    <t xml:space="preserve">RIVALDO LUCIO DOS SANTOS</t>
  </si>
  <si>
    <t xml:space="preserve">123.660.834-83</t>
  </si>
  <si>
    <t xml:space="preserve">3732902-2</t>
  </si>
  <si>
    <t xml:space="preserve">TIAGO DA SILVA RIBEIRO</t>
  </si>
  <si>
    <t xml:space="preserve">136.014.254-16</t>
  </si>
  <si>
    <t xml:space="preserve">4065634-9</t>
  </si>
  <si>
    <t xml:space="preserve">WANDERSON DA SILVA RODRIGUES</t>
  </si>
  <si>
    <t xml:space="preserve">150.809.554-06</t>
  </si>
  <si>
    <t xml:space="preserve">4098774-4</t>
  </si>
  <si>
    <t xml:space="preserve">DAMIAO LOURENÇO GONÇALVES</t>
  </si>
  <si>
    <t xml:space="preserve">044.851.934-89</t>
  </si>
  <si>
    <t xml:space="preserve">EMANUEL OTAVIO AMORIN DO NASCIMENTO</t>
  </si>
  <si>
    <t xml:space="preserve">148.963.374-09</t>
  </si>
  <si>
    <t xml:space="preserve">FABIO JOSE C DE ARAUJO</t>
  </si>
  <si>
    <t xml:space="preserve">FLAVIO INACIO FERREIRA</t>
  </si>
  <si>
    <t xml:space="preserve">054.992.804-95</t>
  </si>
  <si>
    <t xml:space="preserve">GUSTAVO AMANCIO DA SILVA</t>
  </si>
  <si>
    <t xml:space="preserve">486.967.358-46</t>
  </si>
  <si>
    <t xml:space="preserve">486967358-46</t>
  </si>
  <si>
    <t xml:space="preserve">JOAO JOAQUIM DA SILVA</t>
  </si>
  <si>
    <t xml:space="preserve">053.739.574-10</t>
  </si>
  <si>
    <t xml:space="preserve">MATHEUS DA SILVA SOUSA</t>
  </si>
  <si>
    <t xml:space="preserve">073.261.722-77</t>
  </si>
  <si>
    <t xml:space="preserve">???????</t>
  </si>
  <si>
    <t xml:space="preserve">??????????</t>
  </si>
  <si>
    <t xml:space="preserve">EQUIPE: DAMIAO RAUL</t>
  </si>
  <si>
    <t xml:space="preserve">ADRIANO DA SILVA SILVINHO</t>
  </si>
  <si>
    <t xml:space="preserve">SERROLANDIA/IPUBI</t>
  </si>
  <si>
    <t xml:space="preserve">126.535.484-70</t>
  </si>
  <si>
    <t xml:space="preserve">ANTONIO ALVES DE SOUZA</t>
  </si>
  <si>
    <t xml:space="preserve">706.114.544-75</t>
  </si>
  <si>
    <t xml:space="preserve">67.857.436-4</t>
  </si>
  <si>
    <t xml:space="preserve">DAMIAO RAUL ALVES DE SOUZA</t>
  </si>
  <si>
    <t xml:space="preserve">IPAUMIRIM</t>
  </si>
  <si>
    <t xml:space="preserve">039.651.343-37</t>
  </si>
  <si>
    <t xml:space="preserve">039651343-37</t>
  </si>
  <si>
    <t xml:space="preserve">DANIEL ALVES DE LIMA</t>
  </si>
  <si>
    <t xml:space="preserve">000.967.224-95</t>
  </si>
  <si>
    <t xml:space="preserve">DOUGLAS FLORENCIO SOARES</t>
  </si>
  <si>
    <t xml:space="preserve">017.377.104-12</t>
  </si>
  <si>
    <t xml:space="preserve">EDUARDO DE MENESES SALES</t>
  </si>
  <si>
    <t xml:space="preserve">631.240.603-26</t>
  </si>
  <si>
    <t xml:space="preserve">066837742018-9</t>
  </si>
  <si>
    <t xml:space="preserve">EMANUEL MESSIAS CABRAL DE MASCEDO</t>
  </si>
  <si>
    <t xml:space="preserve">131.646.174-29</t>
  </si>
  <si>
    <t xml:space="preserve">FABRICIO DEODATO CESARIO</t>
  </si>
  <si>
    <t xml:space="preserve">095.119.053-92</t>
  </si>
  <si>
    <t xml:space="preserve">2017077333-1</t>
  </si>
  <si>
    <t xml:space="preserve">FERNANDO OLIVEIRA SILVA</t>
  </si>
  <si>
    <t xml:space="preserve">SANTA RITA</t>
  </si>
  <si>
    <t xml:space="preserve">859.446.765-66</t>
  </si>
  <si>
    <t xml:space="preserve">FRANCISCO DE ASSIS CASSIMIRO</t>
  </si>
  <si>
    <t xml:space="preserve">130.119.244-90</t>
  </si>
  <si>
    <t xml:space="preserve">130119244-90</t>
  </si>
  <si>
    <t xml:space="preserve">GENILDO DE JESUS SOUSA</t>
  </si>
  <si>
    <t xml:space="preserve">607.226.663-06</t>
  </si>
  <si>
    <t xml:space="preserve">041270902010-9</t>
  </si>
  <si>
    <t xml:space="preserve">GEOVANILDO MARÇAL DA SILVA</t>
  </si>
  <si>
    <t xml:space="preserve">142.008.754-11</t>
  </si>
  <si>
    <t xml:space="preserve">GESSIOMAR BRUNO DO NASCIMENTO GAMA</t>
  </si>
  <si>
    <t xml:space="preserve">563.351.788-18</t>
  </si>
  <si>
    <t xml:space="preserve">IVANILDO FABRICIO DA SILVA</t>
  </si>
  <si>
    <t xml:space="preserve">081.329.914-43</t>
  </si>
  <si>
    <t xml:space="preserve">JOÃO IGOR DA SILVA BORGES</t>
  </si>
  <si>
    <t xml:space="preserve">183.133.904-84</t>
  </si>
  <si>
    <t xml:space="preserve">183133904-84</t>
  </si>
  <si>
    <t xml:space="preserve">JORGE ERVERSON DE SOUSA SILVA</t>
  </si>
  <si>
    <t xml:space="preserve">707.673.324-23</t>
  </si>
  <si>
    <t xml:space="preserve">JOSE ANTONIO SANTOS OLIVEIRA</t>
  </si>
  <si>
    <t xml:space="preserve">MAURITI</t>
  </si>
  <si>
    <t xml:space="preserve">049.327.565-77</t>
  </si>
  <si>
    <t xml:space="preserve">11602988-69</t>
  </si>
  <si>
    <t xml:space="preserve">JOSE PEREIRA DA SILVA NETO</t>
  </si>
  <si>
    <t xml:space="preserve">095.879.923-77</t>
  </si>
  <si>
    <t xml:space="preserve">2016026289-0</t>
  </si>
  <si>
    <t xml:space="preserve">JOSIAS GARCIA PEREIRA</t>
  </si>
  <si>
    <t xml:space="preserve">170.284.274-63</t>
  </si>
  <si>
    <t xml:space="preserve">MANUEL PEREIRA DA SILVA FRANÇA</t>
  </si>
  <si>
    <t xml:space="preserve">147.142.034-52</t>
  </si>
  <si>
    <t xml:space="preserve">MESSIAS ANDRADE DE OLIVEIRA</t>
  </si>
  <si>
    <t xml:space="preserve">700.472.484-08</t>
  </si>
  <si>
    <t xml:space="preserve">RAFAEL DA CONCEIÇAO GUERRA</t>
  </si>
  <si>
    <t xml:space="preserve">BARRA DA CORDA</t>
  </si>
  <si>
    <t xml:space="preserve">MA</t>
  </si>
  <si>
    <t xml:space="preserve">060.832.523-69</t>
  </si>
  <si>
    <t xml:space="preserve">034641362008-5</t>
  </si>
  <si>
    <t xml:space="preserve">RAIMUNDO CONCEIÇAO DOS SANTOS FILHO</t>
  </si>
  <si>
    <t xml:space="preserve">087.149.723-95</t>
  </si>
  <si>
    <t xml:space="preserve">087149723-95</t>
  </si>
  <si>
    <t xml:space="preserve">RAIRAN SILVA MACEDO DE MOURA</t>
  </si>
  <si>
    <t xml:space="preserve">UMBURANAS</t>
  </si>
  <si>
    <t xml:space="preserve">618.529.683-70</t>
  </si>
  <si>
    <t xml:space="preserve">618529683-70</t>
  </si>
  <si>
    <t xml:space="preserve">N/TEM</t>
  </si>
  <si>
    <t xml:space="preserve">REGIANO SANTANA DE SOUSA</t>
  </si>
  <si>
    <t xml:space="preserve">048.569.243-03</t>
  </si>
  <si>
    <t xml:space="preserve">REGINALDO PAIXÃO DE OLIVEIRA</t>
  </si>
  <si>
    <t xml:space="preserve">634.071.673-34</t>
  </si>
  <si>
    <t xml:space="preserve">RHAIMON ALVES FEITOSA</t>
  </si>
  <si>
    <t xml:space="preserve">001.165.274-80</t>
  </si>
  <si>
    <t xml:space="preserve">ROGERIO ANDSON DE SOUZA</t>
  </si>
  <si>
    <t xml:space="preserve">600.804.113-55</t>
  </si>
  <si>
    <t xml:space="preserve">20050990502-28</t>
  </si>
  <si>
    <t xml:space="preserve">TALYSSON KAWAN GOMES MORAES</t>
  </si>
  <si>
    <t xml:space="preserve">BURITICUPU</t>
  </si>
  <si>
    <t xml:space="preserve">109.018.263-59</t>
  </si>
  <si>
    <t xml:space="preserve">072361082020-6</t>
  </si>
  <si>
    <t xml:space="preserve">TIAGO DE LIMA SOUSA</t>
  </si>
  <si>
    <t xml:space="preserve">135.001.294-71</t>
  </si>
  <si>
    <t xml:space="preserve">                                                             RELAÇÃO EMBARQUE  COLABORADORES SAFRA  2025 / 2026 CONDIMINIO PRATA MG</t>
  </si>
  <si>
    <t xml:space="preserve">DIVERGENCIA </t>
  </si>
  <si>
    <t xml:space="preserve">EQUIPE: LUIZ CLAUDIO</t>
  </si>
  <si>
    <t xml:space="preserve">ANTONIO DARIO PIRES CRUZ</t>
  </si>
  <si>
    <t xml:space="preserve">ITATIRA (LAGOA DO MATO)</t>
  </si>
  <si>
    <t xml:space="preserve">043.610.563-23</t>
  </si>
  <si>
    <t xml:space="preserve">200701403475-0</t>
  </si>
  <si>
    <t xml:space="preserve">ANTONIO FRANCISCO GOMES DE SOUSA</t>
  </si>
  <si>
    <t xml:space="preserve">033.365.923-64</t>
  </si>
  <si>
    <t xml:space="preserve">20050140677-24</t>
  </si>
  <si>
    <t xml:space="preserve">ANTONIO JOSE RIBEIRO CRUZ</t>
  </si>
  <si>
    <t xml:space="preserve">072.846.973-18</t>
  </si>
  <si>
    <t xml:space="preserve">2015201528-5</t>
  </si>
  <si>
    <t xml:space="preserve">ARLINDO DOS SANTOS RODRIGUES</t>
  </si>
  <si>
    <t xml:space="preserve">006.019.823-04</t>
  </si>
  <si>
    <t xml:space="preserve">20010990680-33</t>
  </si>
  <si>
    <t xml:space="preserve">BRUNO CESAR DE JESUS RIBEIRO SANTOS</t>
  </si>
  <si>
    <t xml:space="preserve">174.248.997-40</t>
  </si>
  <si>
    <t xml:space="preserve">29983910-0</t>
  </si>
  <si>
    <t xml:space="preserve">DANIEL MARTINS RUFINO</t>
  </si>
  <si>
    <t xml:space="preserve">080.291.173-02</t>
  </si>
  <si>
    <t xml:space="preserve">080291173-02</t>
  </si>
  <si>
    <t xml:space="preserve">ELSON ALVES DE SOUSA</t>
  </si>
  <si>
    <t xml:space="preserve">065.177.983-90</t>
  </si>
  <si>
    <t xml:space="preserve">FRANCISCO DAS CHAGAS SOUSA</t>
  </si>
  <si>
    <t xml:space="preserve">021.479.653-16</t>
  </si>
  <si>
    <t xml:space="preserve">20040050410-86</t>
  </si>
  <si>
    <t xml:space="preserve">FRANCISCO DIOGO RODRIGUES MOURA</t>
  </si>
  <si>
    <t xml:space="preserve">086.022.873-80</t>
  </si>
  <si>
    <t xml:space="preserve">2016089053-0</t>
  </si>
  <si>
    <t xml:space="preserve">FRANCISCO DOUGLAS GOMES DE SOUSA</t>
  </si>
  <si>
    <t xml:space="preserve">111.395.983-50</t>
  </si>
  <si>
    <t xml:space="preserve">111395983-50</t>
  </si>
  <si>
    <t xml:space="preserve">FRANCISCO EDSON MENDES FERNANDES</t>
  </si>
  <si>
    <t xml:space="preserve">100.059.853-58</t>
  </si>
  <si>
    <t xml:space="preserve">2021022847-9</t>
  </si>
  <si>
    <t xml:space="preserve">FRANCISCO ELDAN MACEDO VIANA</t>
  </si>
  <si>
    <t xml:space="preserve">074.210.583-03</t>
  </si>
  <si>
    <t xml:space="preserve">2008657283-5</t>
  </si>
  <si>
    <t xml:space="preserve">FRANCISCO ERIVALDO SOUSA DOS SANTOS JUNIOR </t>
  </si>
  <si>
    <t xml:space="preserve">062.974.063-16</t>
  </si>
  <si>
    <t xml:space="preserve">2007971053-5</t>
  </si>
  <si>
    <t xml:space="preserve">FRANCISCO JEFERSON MARTINS DAS CHAGAS</t>
  </si>
  <si>
    <t xml:space="preserve">188.481.907-90</t>
  </si>
  <si>
    <t xml:space="preserve">31758023-1</t>
  </si>
  <si>
    <t xml:space="preserve">FRANCISCO JOSE RIBEIRO LIMA</t>
  </si>
  <si>
    <t xml:space="preserve">053.111.253-57</t>
  </si>
  <si>
    <t xml:space="preserve">053111253-57</t>
  </si>
  <si>
    <t xml:space="preserve">FRANCISCO JOSE TEIXEIRA RODRIGUES</t>
  </si>
  <si>
    <t xml:space="preserve">063.358.183-61</t>
  </si>
  <si>
    <t xml:space="preserve">2008000245-0</t>
  </si>
  <si>
    <t xml:space="preserve">FRANCISCO MATEUS DE SOUSA MESQUITA</t>
  </si>
  <si>
    <t xml:space="preserve">086.223.713-01</t>
  </si>
  <si>
    <t xml:space="preserve">086223713-01</t>
  </si>
  <si>
    <t xml:space="preserve">FRANCISCO RIAN SILVA MARTINS</t>
  </si>
  <si>
    <t xml:space="preserve">636.342-973-01</t>
  </si>
  <si>
    <t xml:space="preserve">2020102594-3</t>
  </si>
  <si>
    <t xml:space="preserve">FRANCISCO WELLINGTON RODRIGUES GUERRA</t>
  </si>
  <si>
    <t xml:space="preserve">073.349.023-94</t>
  </si>
  <si>
    <t xml:space="preserve">073349023-94</t>
  </si>
  <si>
    <t xml:space="preserve">GILCELIO VENANCIO GOMES</t>
  </si>
  <si>
    <t xml:space="preserve">931.237.523-72</t>
  </si>
  <si>
    <t xml:space="preserve">2022236785-1</t>
  </si>
  <si>
    <t xml:space="preserve">IRANILSON DOS SANTOS SOUSA</t>
  </si>
  <si>
    <t xml:space="preserve">058.661.923-22</t>
  </si>
  <si>
    <t xml:space="preserve">2007763806-3</t>
  </si>
  <si>
    <t xml:space="preserve">JOAQUIM ANTONIO DOS SANTOS SOUSA</t>
  </si>
  <si>
    <t xml:space="preserve">027.382.993-93</t>
  </si>
  <si>
    <t xml:space="preserve">20040050768-74</t>
  </si>
  <si>
    <t xml:space="preserve">JOSE ADAUDIZIO LOBATO DE CASTRO</t>
  </si>
  <si>
    <t xml:space="preserve">693.349.433-00</t>
  </si>
  <si>
    <t xml:space="preserve">2018231221-0</t>
  </si>
  <si>
    <t xml:space="preserve">KAIC PAIVA DA SILVA</t>
  </si>
  <si>
    <t xml:space="preserve">086.491.233-17</t>
  </si>
  <si>
    <t xml:space="preserve">086491233-17</t>
  </si>
  <si>
    <t xml:space="preserve">LUIZ CLAUDIO TEIXEIRA RODRIGUES</t>
  </si>
  <si>
    <t xml:space="preserve">068.358.063-97</t>
  </si>
  <si>
    <t xml:space="preserve">2008319336-1</t>
  </si>
  <si>
    <t xml:space="preserve">LUIZ HENRIQUE DA SILVEIRA LIMA</t>
  </si>
  <si>
    <t xml:space="preserve">089.353.963-54</t>
  </si>
  <si>
    <t xml:space="preserve">2017155335-1</t>
  </si>
  <si>
    <t xml:space="preserve">PAULO RODRIGUES DE SOUSA</t>
  </si>
  <si>
    <t xml:space="preserve">MORRO DO CHAPEU</t>
  </si>
  <si>
    <t xml:space="preserve">016.693.823-89</t>
  </si>
  <si>
    <t xml:space="preserve">200301512466-0</t>
  </si>
  <si>
    <t xml:space="preserve">RAIMUNDO NONATO GABRIEL</t>
  </si>
  <si>
    <t xml:space="preserve">603.676-493-65</t>
  </si>
  <si>
    <t xml:space="preserve">2009010212-99</t>
  </si>
  <si>
    <t xml:space="preserve">ROQUE EUFRASIO TEIXEIRA RODRIGUES</t>
  </si>
  <si>
    <t xml:space="preserve">055.405.033-17</t>
  </si>
  <si>
    <t xml:space="preserve">2007318335-5</t>
  </si>
  <si>
    <t xml:space="preserve">                                                         RELAÇÃO EMBARQUE  COLABORADORES SAFRA  2025 / 2026 CONDIMINIO PRATA MG</t>
  </si>
  <si>
    <t xml:space="preserve">PENDENCIAS</t>
  </si>
  <si>
    <t xml:space="preserve">EQUIPE: JURANDIR</t>
  </si>
  <si>
    <t xml:space="preserve">DEYVISSON OLIVEIRA DO NASCIMENTO</t>
  </si>
  <si>
    <t xml:space="preserve">720.778.924-63</t>
  </si>
  <si>
    <t xml:space="preserve">5 DE JULHO DE 2025</t>
  </si>
  <si>
    <t xml:space="preserve">NOME NA CONTA</t>
  </si>
  <si>
    <t xml:space="preserve">EDNALDO JOSE DA SILVA</t>
  </si>
  <si>
    <t xml:space="preserve">053.408.894-59</t>
  </si>
  <si>
    <t xml:space="preserve">68400680-7</t>
  </si>
  <si>
    <t xml:space="preserve">03 DE JULHO DE 2025</t>
  </si>
  <si>
    <t xml:space="preserve">EDSON SOARES DOS SANTOS</t>
  </si>
  <si>
    <t xml:space="preserve">843.874.324-20</t>
  </si>
  <si>
    <t xml:space="preserve">ERIK DA SILVA BARROS</t>
  </si>
  <si>
    <t xml:space="preserve">136.706.954-86</t>
  </si>
  <si>
    <t xml:space="preserve">ERIVALDO TELES DA CONCEIÇAO ARAUJO</t>
  </si>
  <si>
    <t xml:space="preserve">107.769.284-65</t>
  </si>
  <si>
    <t xml:space="preserve">7 DE JULHO DE 2025</t>
  </si>
  <si>
    <t xml:space="preserve">FABRICIO JUNIOR OLIVEIRA FARIAS</t>
  </si>
  <si>
    <t xml:space="preserve">719.352.944-74</t>
  </si>
  <si>
    <t xml:space="preserve">FRANCISCO AGLAEUDES DA SILVA</t>
  </si>
  <si>
    <t xml:space="preserve">018.316.864-06</t>
  </si>
  <si>
    <t xml:space="preserve">FRENTE CARTAO</t>
  </si>
  <si>
    <t xml:space="preserve">GUSTAVO SOTERO ALVES DA COSTA</t>
  </si>
  <si>
    <t xml:space="preserve">719.849.494-38</t>
  </si>
  <si>
    <t xml:space="preserve">IGOR SAMUEL OLIVEIRA DA SILVA</t>
  </si>
  <si>
    <t xml:space="preserve">144.148.434-56</t>
  </si>
  <si>
    <t xml:space="preserve">ENVIAR DOCUMENTOS</t>
  </si>
  <si>
    <t xml:space="preserve">INALDO ALVES DE MIRANDA </t>
  </si>
  <si>
    <t xml:space="preserve">047.882.594-35</t>
  </si>
  <si>
    <t xml:space="preserve">3398926-99</t>
  </si>
  <si>
    <t xml:space="preserve">6 DE JULHO DE 2025</t>
  </si>
  <si>
    <t xml:space="preserve">JACKSON GABRIEL OLIVEIRA DA SILVA</t>
  </si>
  <si>
    <t xml:space="preserve">160.884.794-26</t>
  </si>
  <si>
    <t xml:space="preserve">JACKSON IZIDORIO DOS SANTOS</t>
  </si>
  <si>
    <t xml:space="preserve">091.485.424-07</t>
  </si>
  <si>
    <t xml:space="preserve">JOAO VICTOR SANTOS DA CRUZ RODRIGUES</t>
  </si>
  <si>
    <t xml:space="preserve">714.790.464-85</t>
  </si>
  <si>
    <t xml:space="preserve">JOSE MATEUS SILVA DOS ANJOS</t>
  </si>
  <si>
    <t xml:space="preserve">131.123.264-82</t>
  </si>
  <si>
    <t xml:space="preserve">131123264-82</t>
  </si>
  <si>
    <t xml:space="preserve">JOSEILTO IZIDERIO DOS SANTOS</t>
  </si>
  <si>
    <t xml:space="preserve">024.268.474-25</t>
  </si>
  <si>
    <t xml:space="preserve">JURANDI DA SILVA MARTINS FILHO</t>
  </si>
  <si>
    <t xml:space="preserve">CAMPINA VERDE</t>
  </si>
  <si>
    <t xml:space="preserve">MG</t>
  </si>
  <si>
    <t xml:space="preserve">785.471.566-15</t>
  </si>
  <si>
    <t xml:space="preserve">LUCAS MATEUS DE SOUSA E SILVA</t>
  </si>
  <si>
    <t xml:space="preserve">719.135.364-32</t>
  </si>
  <si>
    <t xml:space="preserve">LUCAS VINICIUS RIBEIRO LEITE </t>
  </si>
  <si>
    <t xml:space="preserve">124.976.204-90</t>
  </si>
  <si>
    <t xml:space="preserve">MATEUS DOS ANJOS PEREIRA</t>
  </si>
  <si>
    <t xml:space="preserve">718.971.854-05</t>
  </si>
  <si>
    <t xml:space="preserve">4 DE JULHO DE 2025</t>
  </si>
  <si>
    <t xml:space="preserve">MATHEUS VICTOR RIBEIRO LEITE </t>
  </si>
  <si>
    <t xml:space="preserve">124.976.514-50</t>
  </si>
  <si>
    <t xml:space="preserve">EQUIPE: DALMIRO</t>
  </si>
  <si>
    <t xml:space="preserve">ALAILSON JOSE FERREIRA</t>
  </si>
  <si>
    <t xml:space="preserve">122.031.774-89</t>
  </si>
  <si>
    <t xml:space="preserve">122031774-89</t>
  </si>
  <si>
    <t xml:space="preserve">NOME CONTA</t>
  </si>
  <si>
    <t xml:space="preserve">ALBERTO DE SOUZA SANTOS JUNIOR</t>
  </si>
  <si>
    <t xml:space="preserve">145.852.224-56</t>
  </si>
  <si>
    <t xml:space="preserve">ALTAMIRANDO MEDEIROS JUNIOR</t>
  </si>
  <si>
    <t xml:space="preserve">151.230.244-92</t>
  </si>
  <si>
    <t xml:space="preserve">CARLOS ALBERTO DA SILVA SANTOS</t>
  </si>
  <si>
    <t xml:space="preserve">077.057.444-06</t>
  </si>
  <si>
    <t xml:space="preserve">CLEUTON TIMOTEO SANTOS SILVA</t>
  </si>
  <si>
    <t xml:space="preserve">165.147.654-32</t>
  </si>
  <si>
    <t xml:space="preserve">4383529-5</t>
  </si>
  <si>
    <t xml:space="preserve">COSME DE MELO OLIVEIRA</t>
  </si>
  <si>
    <t xml:space="preserve">CARNEIROS </t>
  </si>
  <si>
    <t xml:space="preserve">146.117.904-10</t>
  </si>
  <si>
    <t xml:space="preserve">146117904-10</t>
  </si>
  <si>
    <t xml:space="preserve">N/T</t>
  </si>
  <si>
    <t xml:space="preserve">DALMARIO FERREIRA DA SILVA</t>
  </si>
  <si>
    <t xml:space="preserve">108.747.864-28</t>
  </si>
  <si>
    <t xml:space="preserve">FERNANDO BARBOSA DE SOUZA</t>
  </si>
  <si>
    <t xml:space="preserve">137.511.524-31</t>
  </si>
  <si>
    <t xml:space="preserve">ISRAEL RAMOS DA CONCEICAO</t>
  </si>
  <si>
    <t xml:space="preserve">087.257.944-18</t>
  </si>
  <si>
    <t xml:space="preserve">0872579</t>
  </si>
  <si>
    <t xml:space="preserve">IZANIAS JADIELSON VIEIRA SIMPLICIO</t>
  </si>
  <si>
    <t xml:space="preserve">151.356.764-06</t>
  </si>
  <si>
    <t xml:space="preserve">JAMESSON DOS SANTOS LOURENCO</t>
  </si>
  <si>
    <t xml:space="preserve">165.903.086-24</t>
  </si>
  <si>
    <t xml:space="preserve">JEFERSSON ADRIANO LEITE DA SILVA</t>
  </si>
  <si>
    <t xml:space="preserve">157.858.684-40</t>
  </si>
  <si>
    <t xml:space="preserve">157858684-40</t>
  </si>
  <si>
    <t xml:space="preserve">JOAO PEDRO MEDEIROS NETO</t>
  </si>
  <si>
    <t xml:space="preserve">108.322.764-56</t>
  </si>
  <si>
    <t xml:space="preserve">JORGE MANOEL LIMA DA SILVA</t>
  </si>
  <si>
    <t xml:space="preserve">148.022.474-00</t>
  </si>
  <si>
    <t xml:space="preserve">JOSE ALVARO DE ALCANTARA SILVA</t>
  </si>
  <si>
    <t xml:space="preserve">170.021.914-62</t>
  </si>
  <si>
    <t xml:space="preserve">JOSE EDISIO FELIX DOS SANTOS</t>
  </si>
  <si>
    <t xml:space="preserve">049.354.274-42</t>
  </si>
  <si>
    <t xml:space="preserve">0493542</t>
  </si>
  <si>
    <t xml:space="preserve">JOSE HAMILTON SANTOS DA SILVA</t>
  </si>
  <si>
    <t xml:space="preserve">160.536.454-19</t>
  </si>
  <si>
    <t xml:space="preserve">JOSE RENILSON DA CRUZ SANTOS</t>
  </si>
  <si>
    <t xml:space="preserve">715.805.894-80</t>
  </si>
  <si>
    <t xml:space="preserve">JOSE ROMARIO DA SILVA VALENTIM</t>
  </si>
  <si>
    <t xml:space="preserve">078.669.044-56</t>
  </si>
  <si>
    <t xml:space="preserve">0786690</t>
  </si>
  <si>
    <t xml:space="preserve">4456</t>
  </si>
  <si>
    <t xml:space="preserve">JOSE VITOR BARBOSA DE OLIVEIRA</t>
  </si>
  <si>
    <t xml:space="preserve">146.327.014-32</t>
  </si>
  <si>
    <t xml:space="preserve">4066167-9</t>
  </si>
  <si>
    <t xml:space="preserve">JOSENILSON SILVA DA CONCEIÇAO</t>
  </si>
  <si>
    <t xml:space="preserve">152.948.634-30</t>
  </si>
  <si>
    <t xml:space="preserve">JOSUE DA CRUZ SILVA</t>
  </si>
  <si>
    <t xml:space="preserve">120.609.934-82</t>
  </si>
  <si>
    <t xml:space="preserve">JUCIANO DA CRUZ SILVA</t>
  </si>
  <si>
    <t xml:space="preserve">096.192.624-41</t>
  </si>
  <si>
    <t xml:space="preserve">0961926</t>
  </si>
  <si>
    <t xml:space="preserve">MANOEL BARBOSA DE OLIVEIRA</t>
  </si>
  <si>
    <t xml:space="preserve">091.742.094-26</t>
  </si>
  <si>
    <t xml:space="preserve">3348432-5</t>
  </si>
  <si>
    <t xml:space="preserve">MANUEL MESSIAS GONZAGA DE ALMEIDA</t>
  </si>
  <si>
    <t xml:space="preserve">131.316.824-21</t>
  </si>
  <si>
    <t xml:space="preserve">4016797-6</t>
  </si>
  <si>
    <t xml:space="preserve">MARCOS ANTONIO DE FRANCA GONZAGA</t>
  </si>
  <si>
    <t xml:space="preserve">127.753.784-47</t>
  </si>
  <si>
    <t xml:space="preserve">NIELSON DE JESUS SILVA</t>
  </si>
  <si>
    <t xml:space="preserve">864.536.205-88</t>
  </si>
  <si>
    <t xml:space="preserve">NOME BANCO</t>
  </si>
  <si>
    <t xml:space="preserve">RAI TIMOTEO VALERIANO</t>
  </si>
  <si>
    <t xml:space="preserve">152.161.404-09</t>
  </si>
  <si>
    <t xml:space="preserve">0409</t>
  </si>
  <si>
    <t xml:space="preserve">REGINALDO LIMA DA SILVA</t>
  </si>
  <si>
    <t xml:space="preserve">095.204.554-00</t>
  </si>
  <si>
    <t xml:space="preserve">0952045</t>
  </si>
  <si>
    <t xml:space="preserve">RICARDO CESAR DOS SANTOS SILVA</t>
  </si>
  <si>
    <t xml:space="preserve">145.719.914-95</t>
  </si>
  <si>
    <t xml:space="preserve">4096107-9</t>
  </si>
  <si>
    <t xml:space="preserve">EXTRADO</t>
  </si>
  <si>
    <t xml:space="preserve">TAWAN PEREIRA</t>
  </si>
  <si>
    <t xml:space="preserve">151.018.584-47</t>
  </si>
  <si>
    <t xml:space="preserve">THIAGO ALVES DOS SANTOS</t>
  </si>
  <si>
    <t xml:space="preserve">162.545.104-05</t>
  </si>
  <si>
    <t xml:space="preserve">67211055-6</t>
  </si>
  <si>
    <t xml:space="preserve">VITOR MANOEL DOS SANTOS</t>
  </si>
  <si>
    <t xml:space="preserve">138.185.774-47</t>
  </si>
  <si>
    <t xml:space="preserve">WILLIAN BEZERRA ALVES</t>
  </si>
  <si>
    <t xml:space="preserve">115.811.034-09</t>
  </si>
  <si>
    <t xml:space="preserve">4175781-5</t>
  </si>
  <si>
    <t xml:space="preserve">ZIDANE DOS SANTOS</t>
  </si>
  <si>
    <t xml:space="preserve">137.810.464-19</t>
  </si>
  <si>
    <t xml:space="preserve">4142112-4</t>
  </si>
  <si>
    <t xml:space="preserve">DENILSON DA SILVA</t>
  </si>
  <si>
    <t xml:space="preserve">900.162.748-06</t>
  </si>
  <si>
    <t xml:space="preserve">ISAAC MOREIRA DOS SANTOS</t>
  </si>
  <si>
    <t xml:space="preserve">160.307.284-58</t>
  </si>
  <si>
    <t xml:space="preserve">ISRAEL LIMA SILVA</t>
  </si>
  <si>
    <t xml:space="preserve">118.575.254-42</t>
  </si>
  <si>
    <t xml:space="preserve">JOAO PAULO ALVES DA SILVA</t>
  </si>
  <si>
    <t xml:space="preserve">096.458.514-67</t>
  </si>
  <si>
    <t xml:space="preserve">0964585</t>
  </si>
  <si>
    <t xml:space="preserve">JOSE ALDO BARAO DE LIMA</t>
  </si>
  <si>
    <t xml:space="preserve">126.136.874-60</t>
  </si>
  <si>
    <t xml:space="preserve">3917193-0</t>
  </si>
  <si>
    <t xml:space="preserve">JOSE ANTONIO DA CONCEICAO OLIVEIRA</t>
  </si>
  <si>
    <t xml:space="preserve">128.256.694-66</t>
  </si>
  <si>
    <t xml:space="preserve">JOSE EDILSON MOREIRA DOS SANTOS</t>
  </si>
  <si>
    <t xml:space="preserve">153.363.614-10</t>
  </si>
  <si>
    <t xml:space="preserve">JOSE HENRIQUE DOS SANTOS</t>
  </si>
  <si>
    <t xml:space="preserve">713.782.874-44</t>
  </si>
  <si>
    <t xml:space="preserve">LUAN FELIPE SILVA MACIEL</t>
  </si>
  <si>
    <t xml:space="preserve">168.340.774-13</t>
  </si>
  <si>
    <t xml:space="preserve">MANOEL DA SILVA FERREIRA</t>
  </si>
  <si>
    <t xml:space="preserve">160.842.194-54</t>
  </si>
  <si>
    <t xml:space="preserve">MANOEL FERREIRA DA SILVA</t>
  </si>
  <si>
    <t xml:space="preserve">148.729.474-36</t>
  </si>
  <si>
    <t xml:space="preserve">MANOEL MESSIAS ALVES DA SILVA</t>
  </si>
  <si>
    <t xml:space="preserve">713.028.504-40</t>
  </si>
  <si>
    <t xml:space="preserve">0440</t>
  </si>
  <si>
    <t xml:space="preserve">MIZAEL DA SILVA RODRIGUES</t>
  </si>
  <si>
    <t xml:space="preserve">082.266.684-76</t>
  </si>
  <si>
    <t xml:space="preserve">0822666</t>
  </si>
  <si>
    <t xml:space="preserve">RYAN JANUARIO DA SILVA</t>
  </si>
  <si>
    <t xml:space="preserve">105.767.184-32</t>
  </si>
  <si>
    <t xml:space="preserve">VITOR RAFAEL JANUARIO DA SILVA</t>
  </si>
  <si>
    <t xml:space="preserve">105.767.214-90</t>
  </si>
  <si>
    <t xml:space="preserve">                                                              RELAÇÃO EMBARQUE  COLABORADORES SAFRA  2024 / 2025 CONDIMINIO PRATA MG</t>
  </si>
  <si>
    <t xml:space="preserve">EQUIPE: NILSON COMPL</t>
  </si>
  <si>
    <t xml:space="preserve">EDINILSON MARTINS DA SILVA</t>
  </si>
  <si>
    <t xml:space="preserve">032.210.433-50</t>
  </si>
  <si>
    <t xml:space="preserve">200801012549-0</t>
  </si>
  <si>
    <t xml:space="preserve">10 DE ABRIL DE 2025</t>
  </si>
  <si>
    <t xml:space="preserve">DOC. LIDER                                                                     RELAÇÃO EMBARQUE  COLABORADORES SAFRA  2024 / 2025 CONDIMINIO PRATA MG</t>
  </si>
  <si>
    <t xml:space="preserve">EQUIPE: ROSIVALDO COMPLEMENTO</t>
  </si>
  <si>
    <t xml:space="preserve">ADRIELSON HENRIQUE DE JESUS SANTOS</t>
  </si>
  <si>
    <t xml:space="preserve">065.595.792-80</t>
  </si>
  <si>
    <t xml:space="preserve">ADRILSON HENRIQUE DE JESUS SANTOS</t>
  </si>
  <si>
    <t xml:space="preserve">065.595.152-06</t>
  </si>
  <si>
    <t xml:space="preserve">CLEBERSON SOUSA DE JESUS</t>
  </si>
  <si>
    <t xml:space="preserve">015.003.962-06</t>
  </si>
  <si>
    <t xml:space="preserve">EDUARDO DOS SANTOS</t>
  </si>
  <si>
    <t xml:space="preserve">050.276.655-71</t>
  </si>
  <si>
    <t xml:space="preserve">JEFFERSON VILHENA DOS SANTOS</t>
  </si>
  <si>
    <t xml:space="preserve">029.256.082-64</t>
  </si>
  <si>
    <t xml:space="preserve">EQUIPE: GILSON ARONON COMPLEMENTO</t>
  </si>
  <si>
    <t xml:space="preserve">JARSON BATISTA DE QUEIROZ</t>
  </si>
  <si>
    <t xml:space="preserve">099.439.044-02</t>
  </si>
  <si>
    <t xml:space="preserve">RENIVAN JOSE DA SILVA</t>
  </si>
  <si>
    <t xml:space="preserve">117.785.734-01</t>
  </si>
  <si>
    <t xml:space="preserve">FABIO GOMES AGOSTINHO</t>
  </si>
  <si>
    <t xml:space="preserve">016.790.793-01</t>
  </si>
  <si>
    <t xml:space="preserve">200301901492-4</t>
  </si>
  <si>
    <t xml:space="preserve">                                                                     RELAÇÃO EMBARQUE  COLABORADORES SAFRA  2025 / 2026 CONDOMINIO FRUTAL MG</t>
  </si>
  <si>
    <t xml:space="preserve">EQUIPE: AILSON EVANGELISTA</t>
  </si>
  <si>
    <t xml:space="preserve">ALEXSANDRO BARBOSA RODRIGUES</t>
  </si>
  <si>
    <t xml:space="preserve">JAICOS</t>
  </si>
  <si>
    <t xml:space="preserve">111.155.703-90</t>
  </si>
  <si>
    <t xml:space="preserve">15 DE FEVEREIRO DE 2025</t>
  </si>
  <si>
    <t xml:space="preserve">ADRIELSON JOSE FRANÇA LOPES</t>
  </si>
  <si>
    <t xml:space="preserve">115.693.943-77</t>
  </si>
  <si>
    <t xml:space="preserve">AILSON EVANGELISTA PLACIDO</t>
  </si>
  <si>
    <t xml:space="preserve">021.389.063-10</t>
  </si>
  <si>
    <t xml:space="preserve">AILTON RODRIGUES DE SOUSA</t>
  </si>
  <si>
    <t xml:space="preserve">068.215.763-51</t>
  </si>
  <si>
    <t xml:space="preserve">ARIELTON DE SOUSA LACERDA </t>
  </si>
  <si>
    <t xml:space="preserve">085.100.583-77</t>
  </si>
  <si>
    <t xml:space="preserve">DENILSON DE FIGUEIREDO COSTA </t>
  </si>
  <si>
    <t xml:space="preserve">034.916.443-67</t>
  </si>
  <si>
    <t xml:space="preserve">034916443-67</t>
  </si>
  <si>
    <t xml:space="preserve">ESEQUIAS DE SOUSA MOURA</t>
  </si>
  <si>
    <t xml:space="preserve">080.017.643-03</t>
  </si>
  <si>
    <t xml:space="preserve">FRANCISCO HELMER DIAS DE SOUSA JUNIOR</t>
  </si>
  <si>
    <t xml:space="preserve">084.240.593-36</t>
  </si>
  <si>
    <t xml:space="preserve">GEOVAN VELOSO DE SOUSA</t>
  </si>
  <si>
    <t xml:space="preserve">061.238.273-75</t>
  </si>
  <si>
    <t xml:space="preserve">061238273-75</t>
  </si>
  <si>
    <t xml:space="preserve">GUSTAVO REIS DE LIMA</t>
  </si>
  <si>
    <t xml:space="preserve">052.197.113-69</t>
  </si>
  <si>
    <t xml:space="preserve">052197113-69</t>
  </si>
  <si>
    <t xml:space="preserve">IRISVALDO IRINEU VELOSO</t>
  </si>
  <si>
    <t xml:space="preserve">085.845.013-55</t>
  </si>
  <si>
    <t xml:space="preserve">JOSE FILHO DE MOURA SILVA</t>
  </si>
  <si>
    <t xml:space="preserve">070.933.343-93</t>
  </si>
  <si>
    <t xml:space="preserve">JOSE JOAO DA SILVA FILHO</t>
  </si>
  <si>
    <t xml:space="preserve">080.069.153-93</t>
  </si>
  <si>
    <t xml:space="preserve">JOSUE AVELINO DA SILVA</t>
  </si>
  <si>
    <t xml:space="preserve">086.819.133-79</t>
  </si>
  <si>
    <t xml:space="preserve">MARCOS HUMBERTO DE SOUSA</t>
  </si>
  <si>
    <t xml:space="preserve">114.797.123-45</t>
  </si>
  <si>
    <t xml:space="preserve">ORLANDO ARNALDO DA COSTA</t>
  </si>
  <si>
    <t xml:space="preserve">056.599.563-43</t>
  </si>
  <si>
    <t xml:space="preserve">RAMIRO JOSE DE SOUSA</t>
  </si>
  <si>
    <t xml:space="preserve">068.980.933-63</t>
  </si>
  <si>
    <t xml:space="preserve">068980933-63</t>
  </si>
  <si>
    <t xml:space="preserve">TIAGO MOURA RODRIGUES SOUSA</t>
  </si>
  <si>
    <t xml:space="preserve">084.585.113-85</t>
  </si>
  <si>
    <t xml:space="preserve">FRANCISCO BRUNO DIAS DE LIMA</t>
  </si>
  <si>
    <t xml:space="preserve">065.940.073-19</t>
  </si>
  <si>
    <t xml:space="preserve">DENILSON DE SOUSA</t>
  </si>
  <si>
    <t xml:space="preserve">623.229.633-80</t>
  </si>
  <si>
    <t xml:space="preserve">JEOVAN DE CARVALHO</t>
  </si>
  <si>
    <t xml:space="preserve">058.972.783-42</t>
  </si>
  <si>
    <t xml:space="preserve">058972783-42</t>
  </si>
  <si>
    <t xml:space="preserve">JERSON DIAS BORGES</t>
  </si>
  <si>
    <t xml:space="preserve">021.489.383-98</t>
  </si>
  <si>
    <t xml:space="preserve">EDUARDO EDER DE LIMA SANTOS</t>
  </si>
  <si>
    <t xml:space="preserve">480.085.558-66</t>
  </si>
  <si>
    <t xml:space="preserve">MARDONIO LIMA PEREIRA</t>
  </si>
  <si>
    <t xml:space="preserve">076.974.993-39</t>
  </si>
  <si>
    <t xml:space="preserve">LUCAS EMANOEL RIBEIRO DA SILVA</t>
  </si>
  <si>
    <t xml:space="preserve">081.126.973-61</t>
  </si>
  <si>
    <t xml:space="preserve">EQUIPE: 'DALMARIO</t>
  </si>
  <si>
    <t xml:space="preserve">RIAN SILVA LINO</t>
  </si>
  <si>
    <t xml:space="preserve">708.927.744-52</t>
  </si>
  <si>
    <t xml:space="preserve">4397724-3</t>
  </si>
  <si>
    <t xml:space="preserve">EQUIPE: WEMERSON</t>
  </si>
  <si>
    <t xml:space="preserve">ROMARIO COELHO ALVES</t>
  </si>
  <si>
    <t xml:space="preserve">PALMARES</t>
  </si>
  <si>
    <t xml:space="preserve">055.919.394-73</t>
  </si>
  <si>
    <t xml:space="preserve">68867076-3</t>
  </si>
  <si>
    <t xml:space="preserve">EQUIPE:  CICERO LEITE</t>
  </si>
  <si>
    <t xml:space="preserve">LINDOMAR BARBOSA DA SILVA</t>
  </si>
  <si>
    <t xml:space="preserve">PRINCESA ISABEL</t>
  </si>
  <si>
    <t xml:space="preserve">034.047.524-22</t>
  </si>
  <si>
    <t xml:space="preserve">34047524-22</t>
  </si>
  <si>
    <t xml:space="preserve">JACKSON DA SILVA OLIVEIRA</t>
  </si>
  <si>
    <t xml:space="preserve">098.646.994-74</t>
  </si>
  <si>
    <t xml:space="preserve">9 DE AGOSTO DE 2025</t>
  </si>
  <si>
    <t xml:space="preserve">JOSIVAL DA CRUZ SILVA</t>
  </si>
  <si>
    <t xml:space="preserve">125.458.424-27</t>
  </si>
  <si>
    <t xml:space="preserve">3914214-0</t>
  </si>
  <si>
    <t xml:space="preserve">Classe</t>
  </si>
  <si>
    <t xml:space="preserve">Código</t>
  </si>
  <si>
    <t xml:space="preserve">Nome</t>
  </si>
  <si>
    <t xml:space="preserve">Explicação</t>
  </si>
  <si>
    <t xml:space="preserve">Exemplo de Uso</t>
  </si>
  <si>
    <t xml:space="preserve">1xx (Informativa)</t>
  </si>
  <si>
    <t xml:space="preserve">Continue</t>
  </si>
  <si>
    <t xml:space="preserve">O servidor recebeu os cabeçalhos da requisição e o cliente deve continuar enviando o corpo da requisição.</t>
  </si>
  <si>
    <t xml:space="preserve">Antes de enviar um grande arquivo por POST.</t>
  </si>
  <si>
    <t xml:space="preserve">Switching Protocols</t>
  </si>
  <si>
    <t xml:space="preserve">O servidor está trocando o protocolo, conforme solicitado pelo cliente (ex: de HTTP/1.1 para WebSocket).</t>
  </si>
  <si>
    <t xml:space="preserve">Atualizando uma conexão para um protocolo mais novo ou diferente.</t>
  </si>
  <si>
    <t xml:space="preserve">2xx (Sucesso)</t>
  </si>
  <si>
    <t xml:space="preserve">A requisição foi bem-sucedida. O resultado (a página, os dados) está incluído na resposta.</t>
  </si>
  <si>
    <t xml:space="preserve">Requisição GET para carregar uma página da web.</t>
  </si>
  <si>
    <t xml:space="preserve">Created</t>
  </si>
  <si>
    <t xml:space="preserve">A requisição foi bem-sucedida e um novo recurso foi criado como resultado (comumente após um POST).</t>
  </si>
  <si>
    <t xml:space="preserve">Criar um novo usuário ou item em um banco de dados via API.</t>
  </si>
  <si>
    <t xml:space="preserve">No Content</t>
  </si>
  <si>
    <t xml:space="preserve">A requisição foi bem-sucedida, mas não há conteúdo para retornar no corpo da resposta (útil para economizar largura de banda).</t>
  </si>
  <si>
    <t xml:space="preserve">Excluir um recurso com sucesso (DELETE), sem necessidade de retornar confirmação.</t>
  </si>
  <si>
    <t xml:space="preserve">Partial Content</t>
  </si>
  <si>
    <t xml:space="preserve">O servidor está entregando apenas parte do recurso solicitado, conforme um cabeçalho de intervalo (Range) enviado pelo cliente.</t>
  </si>
  <si>
    <t xml:space="preserve">Retomar um download de arquivo ou streaming de vídeo.</t>
  </si>
  <si>
    <t xml:space="preserve">3xx (Redirecionamento)</t>
  </si>
  <si>
    <t xml:space="preserve">Moved Permanently</t>
  </si>
  <si>
    <t xml:space="preserve">O recurso solicitado foi movido permanentemente para uma nova URL. O cliente deve usar esta nova URL em requisições futuras.</t>
  </si>
  <si>
    <t xml:space="preserve">Acessar http://siteantigo.com.br e ser redirecionado para https://sitenovo.com.br.</t>
  </si>
  <si>
    <t xml:space="preserve">Found</t>
  </si>
  <si>
    <t xml:space="preserve">O recurso solicitado foi movido temporariamente para uma nova URL. O cliente deve continuar usando a URL original.</t>
  </si>
  <si>
    <t xml:space="preserve">Um site usa um link temporário para uma promoção por tempo limitado.</t>
  </si>
  <si>
    <t xml:space="preserve">Not Modified</t>
  </si>
  <si>
    <t xml:space="preserve">Indica ao cliente que o recurso solicitado não foi modificado desde a última requisição, permitindo que o cliente use sua versão em cache.</t>
  </si>
  <si>
    <t xml:space="preserve">O navegador envia um cabeçalho de data e o servidor confirma que o arquivo não mudou.</t>
  </si>
  <si>
    <t xml:space="preserve">4xx (Erro do Cliente)</t>
  </si>
  <si>
    <t xml:space="preserve">Bad Request</t>
  </si>
  <si>
    <t xml:space="preserve">O servidor não pode ou não irá processar a requisição devido a um erro do cliente (ex: sintaxe de requisição malformada, dados inválidos).</t>
  </si>
  <si>
    <t xml:space="preserve">O usuário envia um formulário de login com um email no formato incorreto.</t>
  </si>
  <si>
    <t xml:space="preserve">Unauthorized</t>
  </si>
  <si>
    <t xml:space="preserve">A requisição requer autenticação. O cliente deve se autenticar (geralmente com credenciais) para obter a resposta solicitada.</t>
  </si>
  <si>
    <t xml:space="preserve">Tentar acessar uma página restrita sem estar logado.</t>
  </si>
  <si>
    <t xml:space="preserve">Forbidden</t>
  </si>
  <si>
    <t xml:space="preserve">O servidor compreendeu a requisição, mas se recusa a autorizá-la. O cliente não tem permissão para acessar o recurso.</t>
  </si>
  <si>
    <t xml:space="preserve">Tentar acessar as configurações de administrador sem ter privilégios de administrador.</t>
  </si>
  <si>
    <t xml:space="preserve">Not Found</t>
  </si>
  <si>
    <t xml:space="preserve">O servidor não encontrou o recurso solicitado.</t>
  </si>
  <si>
    <t xml:space="preserve">Acessar uma URL de uma página que foi deletada ou nunca existiu.</t>
  </si>
  <si>
    <t xml:space="preserve">Method Not Allowed</t>
  </si>
  <si>
    <t xml:space="preserve">O método HTTP usado na requisição (ex: POST, PUT) não é suportado pelo recurso na URL.</t>
  </si>
  <si>
    <t xml:space="preserve">Tentar enviar um DELETE para uma URL que só aceita GET.</t>
  </si>
  <si>
    <t xml:space="preserve">Too Many Requests</t>
  </si>
  <si>
    <t xml:space="preserve">O cliente enviou muitas requisições em um determinado período de tempo (limite de taxa ou rate limiting).</t>
  </si>
  <si>
    <t xml:space="preserve">Um bot ou usuário enviando muitas solicitações de API em um curto espaço de tempo.</t>
  </si>
  <si>
    <t xml:space="preserve">5xx (Erro do Servidor)</t>
  </si>
  <si>
    <t xml:space="preserve">Internal Server Error</t>
  </si>
  <si>
    <t xml:space="preserve">Uma mensagem genérica que indica que ocorreu uma condição inesperada e o servidor não pode completar a requisição.</t>
  </si>
  <si>
    <t xml:space="preserve">Um erro de código no servidor (ex: crash, exceção não tratada) durante o processamento de uma solicitação.</t>
  </si>
  <si>
    <t xml:space="preserve">Not Implemented</t>
  </si>
  <si>
    <t xml:space="preserve">O servidor não suporta a funcionalidade requerida para cumprir a requisição (ex: um método HTTP desconhecido).</t>
  </si>
  <si>
    <t xml:space="preserve">Tentar usar um método HTTP não padrão (PROPNAME) em um servidor que não o implementa.</t>
  </si>
  <si>
    <t xml:space="preserve">Service Unavailable</t>
  </si>
  <si>
    <t xml:space="preserve">O servidor não está pronto para lidar com a requisição, geralmente devido a sobrecarga ou manutenção.</t>
  </si>
  <si>
    <t xml:space="preserve">O servidor está sendo atualizado ou passou de sua capacidade máxima de tráfego.</t>
  </si>
  <si>
    <t xml:space="preserve">Gateway Timeout</t>
  </si>
  <si>
    <t xml:space="preserve">O servidor, atuando como um gateway ou proxy, não recebeu uma resposta em tempo hábil de um servidor upstream (o servidor que ele estava acessando).</t>
  </si>
  <si>
    <t xml:space="preserve">Um servidor web esperando por uma resposta de um servidor de banco de dados que demorou demais.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</si>
</sst>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dd/mm/yy;@"/>
    <numFmt numFmtId="167" formatCode="d/m/yyyy"/>
    <numFmt numFmtId="168" formatCode="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rgb="FFFA7D00"/>
      <name val="Calibri"/>
      <family val="2"/>
      <charset val="1"/>
    </font>
    <font>
      <sz val="9"/>
      <color theme="1"/>
      <name val="Calibri"/>
      <family val="2"/>
      <charset val="1"/>
    </font>
    <font>
      <b val="true"/>
      <sz val="9"/>
      <color theme="1"/>
      <name val="Arial"/>
      <family val="2"/>
      <charset val="1"/>
    </font>
    <font>
      <b val="true"/>
      <sz val="9"/>
      <color theme="1"/>
      <name val="Calibri"/>
      <family val="2"/>
      <charset val="1"/>
    </font>
    <font>
      <sz val="9"/>
      <name val="Calibri"/>
      <family val="2"/>
      <charset val="1"/>
    </font>
    <font>
      <sz val="10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u val="single"/>
      <sz val="9"/>
      <color theme="1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rgb="FFC9211E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theme="0"/>
        <bgColor rgb="FFF2F2F2"/>
      </patternFill>
    </fill>
    <fill>
      <patternFill patternType="solid">
        <fgColor theme="7" tint="0.3999"/>
        <bgColor rgb="FFC0C0C0"/>
      </patternFill>
    </fill>
    <fill>
      <patternFill patternType="solid">
        <fgColor rgb="FF92D050"/>
        <bgColor rgb="FFC0C0C0"/>
      </patternFill>
    </fill>
    <fill>
      <patternFill patternType="solid">
        <fgColor rgb="FFFF0000"/>
        <bgColor rgb="FFC9211E"/>
      </patternFill>
    </fill>
    <fill>
      <patternFill patternType="solid">
        <fgColor rgb="FFFFFF00"/>
        <bgColor rgb="FFFFFF00"/>
      </patternFill>
    </fill>
    <fill>
      <patternFill patternType="solid">
        <fgColor theme="9" tint="0.3999"/>
        <bgColor rgb="FFC0C0C0"/>
      </patternFill>
    </fill>
    <fill>
      <patternFill patternType="solid">
        <fgColor rgb="FFDAF2D0"/>
        <bgColor rgb="FFF2F2F2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applyFont="true" applyBorder="true" applyAlignment="true" applyProtection="false">
      <alignment horizontal="general" vertical="bottom" textRotation="0" wrapText="false" indent="0" shrinkToFit="false"/>
    </xf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22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4" xfId="22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6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6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4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3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4" xfId="22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9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0" xfId="22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7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Excel Built-in Calculation" xfId="22"/>
    <cellStyle name="*unknown*" xfId="20" builtinId="8"/>
  </cellStyles>
  <dxfs count="7">
    <dxf>
      <fill>
        <patternFill patternType="solid">
          <fgColor rgb="FF92D050"/>
          <bgColor rgb="FF000000"/>
        </patternFill>
      </fill>
    </dxf>
    <dxf>
      <fill>
        <patternFill patternType="solid">
          <fgColor rgb="FFB3A2C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DAF2D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AF2D0"/>
      <rgbColor rgb="FFFFFF99"/>
      <rgbColor rgb="FF99CCFF"/>
      <rgbColor rgb="FFFF99CC"/>
      <rgbColor rgb="FFB3A2C7"/>
      <rgbColor rgb="FFFAC090"/>
      <rgbColor rgb="FF3366FF"/>
      <rgbColor rgb="FF33CCCC"/>
      <rgbColor rgb="FF92D050"/>
      <rgbColor rgb="FFFFCC00"/>
      <rgbColor rgb="FFFF9900"/>
      <rgbColor rgb="FFFA7D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7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8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9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0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6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7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8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9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0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6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7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8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9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0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38160</xdr:colOff>
      <xdr:row>0</xdr:row>
      <xdr:rowOff>38160</xdr:rowOff>
    </xdr:from>
    <xdr:to>
      <xdr:col>1</xdr:col>
      <xdr:colOff>304560</xdr:colOff>
      <xdr:row>1</xdr:row>
      <xdr:rowOff>161640</xdr:rowOff>
    </xdr:to>
    <xdr:pic>
      <xdr:nvPicPr>
        <xdr:cNvPr id="1" name="Imagem 1" descr=""/>
        <xdr:cNvPicPr/>
      </xdr:nvPicPr>
      <xdr:blipFill>
        <a:blip r:embed="rId1"/>
        <a:stretch/>
      </xdr:blipFill>
      <xdr:spPr>
        <a:xfrm>
          <a:off x="38160" y="38160"/>
          <a:ext cx="529200" cy="313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19080</xdr:colOff>
      <xdr:row>0</xdr:row>
      <xdr:rowOff>38160</xdr:rowOff>
    </xdr:from>
    <xdr:to>
      <xdr:col>1</xdr:col>
      <xdr:colOff>375120</xdr:colOff>
      <xdr:row>1</xdr:row>
      <xdr:rowOff>180720</xdr:rowOff>
    </xdr:to>
    <xdr:pic>
      <xdr:nvPicPr>
        <xdr:cNvPr id="2" name="Imagem 2" descr=""/>
        <xdr:cNvPicPr/>
      </xdr:nvPicPr>
      <xdr:blipFill>
        <a:blip r:embed="rId1"/>
        <a:stretch/>
      </xdr:blipFill>
      <xdr:spPr>
        <a:xfrm>
          <a:off x="19080" y="38160"/>
          <a:ext cx="618840" cy="333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19080</xdr:colOff>
      <xdr:row>0</xdr:row>
      <xdr:rowOff>38160</xdr:rowOff>
    </xdr:from>
    <xdr:to>
      <xdr:col>1</xdr:col>
      <xdr:colOff>331200</xdr:colOff>
      <xdr:row>1</xdr:row>
      <xdr:rowOff>123480</xdr:rowOff>
    </xdr:to>
    <xdr:pic>
      <xdr:nvPicPr>
        <xdr:cNvPr id="3" name="Imagem 1" descr=""/>
        <xdr:cNvPicPr/>
      </xdr:nvPicPr>
      <xdr:blipFill>
        <a:blip r:embed="rId1"/>
        <a:stretch/>
      </xdr:blipFill>
      <xdr:spPr>
        <a:xfrm>
          <a:off x="19080" y="38160"/>
          <a:ext cx="552240" cy="27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19080</xdr:colOff>
      <xdr:row>0</xdr:row>
      <xdr:rowOff>38160</xdr:rowOff>
    </xdr:from>
    <xdr:to>
      <xdr:col>1</xdr:col>
      <xdr:colOff>331200</xdr:colOff>
      <xdr:row>1</xdr:row>
      <xdr:rowOff>123480</xdr:rowOff>
    </xdr:to>
    <xdr:pic>
      <xdr:nvPicPr>
        <xdr:cNvPr id="4" name="Imagem 1" descr=""/>
        <xdr:cNvPicPr/>
      </xdr:nvPicPr>
      <xdr:blipFill>
        <a:blip r:embed="rId1"/>
        <a:stretch/>
      </xdr:blipFill>
      <xdr:spPr>
        <a:xfrm>
          <a:off x="19080" y="38160"/>
          <a:ext cx="552240" cy="27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19080</xdr:colOff>
      <xdr:row>0</xdr:row>
      <xdr:rowOff>38160</xdr:rowOff>
    </xdr:from>
    <xdr:to>
      <xdr:col>1</xdr:col>
      <xdr:colOff>331200</xdr:colOff>
      <xdr:row>1</xdr:row>
      <xdr:rowOff>123480</xdr:rowOff>
    </xdr:to>
    <xdr:pic>
      <xdr:nvPicPr>
        <xdr:cNvPr id="5" name="Imagem 1" descr=""/>
        <xdr:cNvPicPr/>
      </xdr:nvPicPr>
      <xdr:blipFill>
        <a:blip r:embed="rId1"/>
        <a:stretch/>
      </xdr:blipFill>
      <xdr:spPr>
        <a:xfrm>
          <a:off x="19080" y="38160"/>
          <a:ext cx="552240" cy="27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57240</xdr:colOff>
      <xdr:row>0</xdr:row>
      <xdr:rowOff>47520</xdr:rowOff>
    </xdr:from>
    <xdr:to>
      <xdr:col>1</xdr:col>
      <xdr:colOff>380880</xdr:colOff>
      <xdr:row>1</xdr:row>
      <xdr:rowOff>132840</xdr:rowOff>
    </xdr:to>
    <xdr:pic>
      <xdr:nvPicPr>
        <xdr:cNvPr id="6" name="Imagem 1" descr=""/>
        <xdr:cNvPicPr/>
      </xdr:nvPicPr>
      <xdr:blipFill>
        <a:blip r:embed="rId1"/>
        <a:stretch/>
      </xdr:blipFill>
      <xdr:spPr>
        <a:xfrm>
          <a:off x="57240" y="47520"/>
          <a:ext cx="552240" cy="27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19080</xdr:colOff>
      <xdr:row>0</xdr:row>
      <xdr:rowOff>38160</xdr:rowOff>
    </xdr:from>
    <xdr:to>
      <xdr:col>1</xdr:col>
      <xdr:colOff>342720</xdr:colOff>
      <xdr:row>1</xdr:row>
      <xdr:rowOff>123480</xdr:rowOff>
    </xdr:to>
    <xdr:pic>
      <xdr:nvPicPr>
        <xdr:cNvPr id="7" name="Imagem 1" descr=""/>
        <xdr:cNvPicPr/>
      </xdr:nvPicPr>
      <xdr:blipFill>
        <a:blip r:embed="rId1"/>
        <a:stretch/>
      </xdr:blipFill>
      <xdr:spPr>
        <a:xfrm>
          <a:off x="19080" y="38160"/>
          <a:ext cx="552240" cy="27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19080</xdr:colOff>
      <xdr:row>0</xdr:row>
      <xdr:rowOff>38160</xdr:rowOff>
    </xdr:from>
    <xdr:to>
      <xdr:col>1</xdr:col>
      <xdr:colOff>376920</xdr:colOff>
      <xdr:row>1</xdr:row>
      <xdr:rowOff>123480</xdr:rowOff>
    </xdr:to>
    <xdr:pic>
      <xdr:nvPicPr>
        <xdr:cNvPr id="8" name="Imagem 1" descr=""/>
        <xdr:cNvPicPr/>
      </xdr:nvPicPr>
      <xdr:blipFill>
        <a:blip r:embed="rId1"/>
        <a:stretch/>
      </xdr:blipFill>
      <xdr:spPr>
        <a:xfrm>
          <a:off x="19080" y="38160"/>
          <a:ext cx="552240" cy="27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19080</xdr:colOff>
      <xdr:row>0</xdr:row>
      <xdr:rowOff>38160</xdr:rowOff>
    </xdr:from>
    <xdr:to>
      <xdr:col>1</xdr:col>
      <xdr:colOff>399960</xdr:colOff>
      <xdr:row>1</xdr:row>
      <xdr:rowOff>123480</xdr:rowOff>
    </xdr:to>
    <xdr:pic>
      <xdr:nvPicPr>
        <xdr:cNvPr id="9" name="Imagem 1" descr=""/>
        <xdr:cNvPicPr/>
      </xdr:nvPicPr>
      <xdr:blipFill>
        <a:blip r:embed="rId1"/>
        <a:stretch/>
      </xdr:blipFill>
      <xdr:spPr>
        <a:xfrm>
          <a:off x="19080" y="38160"/>
          <a:ext cx="552240" cy="27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19080</xdr:colOff>
      <xdr:row>0</xdr:row>
      <xdr:rowOff>38160</xdr:rowOff>
    </xdr:from>
    <xdr:to>
      <xdr:col>1</xdr:col>
      <xdr:colOff>342720</xdr:colOff>
      <xdr:row>1</xdr:row>
      <xdr:rowOff>123480</xdr:rowOff>
    </xdr:to>
    <xdr:pic>
      <xdr:nvPicPr>
        <xdr:cNvPr id="10" name="Imagem 1" descr=""/>
        <xdr:cNvPicPr/>
      </xdr:nvPicPr>
      <xdr:blipFill>
        <a:blip r:embed="rId1"/>
        <a:stretch/>
      </xdr:blipFill>
      <xdr:spPr>
        <a:xfrm>
          <a:off x="19080" y="38160"/>
          <a:ext cx="552240" cy="27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19080</xdr:colOff>
      <xdr:row>0</xdr:row>
      <xdr:rowOff>38160</xdr:rowOff>
    </xdr:from>
    <xdr:to>
      <xdr:col>1</xdr:col>
      <xdr:colOff>342720</xdr:colOff>
      <xdr:row>1</xdr:row>
      <xdr:rowOff>123480</xdr:rowOff>
    </xdr:to>
    <xdr:pic>
      <xdr:nvPicPr>
        <xdr:cNvPr id="11" name="Imagem 1" descr=""/>
        <xdr:cNvPicPr/>
      </xdr:nvPicPr>
      <xdr:blipFill>
        <a:blip r:embed="rId1"/>
        <a:stretch/>
      </xdr:blipFill>
      <xdr:spPr>
        <a:xfrm>
          <a:off x="19080" y="38160"/>
          <a:ext cx="552240" cy="27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19080</xdr:colOff>
      <xdr:row>0</xdr:row>
      <xdr:rowOff>38160</xdr:rowOff>
    </xdr:from>
    <xdr:to>
      <xdr:col>1</xdr:col>
      <xdr:colOff>342720</xdr:colOff>
      <xdr:row>1</xdr:row>
      <xdr:rowOff>123480</xdr:rowOff>
    </xdr:to>
    <xdr:pic>
      <xdr:nvPicPr>
        <xdr:cNvPr id="12" name="Imagem 1" descr=""/>
        <xdr:cNvPicPr/>
      </xdr:nvPicPr>
      <xdr:blipFill>
        <a:blip r:embed="rId1"/>
        <a:stretch/>
      </xdr:blipFill>
      <xdr:spPr>
        <a:xfrm>
          <a:off x="19080" y="38160"/>
          <a:ext cx="552240" cy="27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19080</xdr:colOff>
      <xdr:row>0</xdr:row>
      <xdr:rowOff>38160</xdr:rowOff>
    </xdr:from>
    <xdr:to>
      <xdr:col>1</xdr:col>
      <xdr:colOff>342720</xdr:colOff>
      <xdr:row>1</xdr:row>
      <xdr:rowOff>123480</xdr:rowOff>
    </xdr:to>
    <xdr:pic>
      <xdr:nvPicPr>
        <xdr:cNvPr id="13" name="Imagem 1" descr=""/>
        <xdr:cNvPicPr/>
      </xdr:nvPicPr>
      <xdr:blipFill>
        <a:blip r:embed="rId1"/>
        <a:stretch/>
      </xdr:blipFill>
      <xdr:spPr>
        <a:xfrm>
          <a:off x="19080" y="38160"/>
          <a:ext cx="552240" cy="27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19080</xdr:colOff>
      <xdr:row>0</xdr:row>
      <xdr:rowOff>38160</xdr:rowOff>
    </xdr:from>
    <xdr:to>
      <xdr:col>1</xdr:col>
      <xdr:colOff>342720</xdr:colOff>
      <xdr:row>1</xdr:row>
      <xdr:rowOff>123480</xdr:rowOff>
    </xdr:to>
    <xdr:pic>
      <xdr:nvPicPr>
        <xdr:cNvPr id="14" name="Imagem 1" descr=""/>
        <xdr:cNvPicPr/>
      </xdr:nvPicPr>
      <xdr:blipFill>
        <a:blip r:embed="rId1"/>
        <a:stretch/>
      </xdr:blipFill>
      <xdr:spPr>
        <a:xfrm>
          <a:off x="19080" y="38160"/>
          <a:ext cx="552240" cy="27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19080</xdr:colOff>
      <xdr:row>0</xdr:row>
      <xdr:rowOff>38160</xdr:rowOff>
    </xdr:from>
    <xdr:to>
      <xdr:col>1</xdr:col>
      <xdr:colOff>342720</xdr:colOff>
      <xdr:row>1</xdr:row>
      <xdr:rowOff>123480</xdr:rowOff>
    </xdr:to>
    <xdr:pic>
      <xdr:nvPicPr>
        <xdr:cNvPr id="15" name="Imagem 1" descr=""/>
        <xdr:cNvPicPr/>
      </xdr:nvPicPr>
      <xdr:blipFill>
        <a:blip r:embed="rId1"/>
        <a:stretch/>
      </xdr:blipFill>
      <xdr:spPr>
        <a:xfrm>
          <a:off x="19080" y="38160"/>
          <a:ext cx="552240" cy="27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19080</xdr:colOff>
      <xdr:row>0</xdr:row>
      <xdr:rowOff>38160</xdr:rowOff>
    </xdr:from>
    <xdr:to>
      <xdr:col>1</xdr:col>
      <xdr:colOff>342720</xdr:colOff>
      <xdr:row>1</xdr:row>
      <xdr:rowOff>123480</xdr:rowOff>
    </xdr:to>
    <xdr:pic>
      <xdr:nvPicPr>
        <xdr:cNvPr id="16" name="Imagem 1" descr=""/>
        <xdr:cNvPicPr/>
      </xdr:nvPicPr>
      <xdr:blipFill>
        <a:blip r:embed="rId1"/>
        <a:stretch/>
      </xdr:blipFill>
      <xdr:spPr>
        <a:xfrm>
          <a:off x="19080" y="38160"/>
          <a:ext cx="552240" cy="27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19080</xdr:colOff>
      <xdr:row>0</xdr:row>
      <xdr:rowOff>38160</xdr:rowOff>
    </xdr:from>
    <xdr:to>
      <xdr:col>1</xdr:col>
      <xdr:colOff>342720</xdr:colOff>
      <xdr:row>1</xdr:row>
      <xdr:rowOff>123480</xdr:rowOff>
    </xdr:to>
    <xdr:pic>
      <xdr:nvPicPr>
        <xdr:cNvPr id="17" name="Imagem 1" descr=""/>
        <xdr:cNvPicPr/>
      </xdr:nvPicPr>
      <xdr:blipFill>
        <a:blip r:embed="rId1"/>
        <a:stretch/>
      </xdr:blipFill>
      <xdr:spPr>
        <a:xfrm>
          <a:off x="19080" y="38160"/>
          <a:ext cx="552240" cy="27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19080</xdr:colOff>
      <xdr:row>0</xdr:row>
      <xdr:rowOff>38160</xdr:rowOff>
    </xdr:from>
    <xdr:to>
      <xdr:col>1</xdr:col>
      <xdr:colOff>342720</xdr:colOff>
      <xdr:row>1</xdr:row>
      <xdr:rowOff>123480</xdr:rowOff>
    </xdr:to>
    <xdr:pic>
      <xdr:nvPicPr>
        <xdr:cNvPr id="18" name="Imagem 1" descr=""/>
        <xdr:cNvPicPr/>
      </xdr:nvPicPr>
      <xdr:blipFill>
        <a:blip r:embed="rId1"/>
        <a:stretch/>
      </xdr:blipFill>
      <xdr:spPr>
        <a:xfrm>
          <a:off x="19080" y="38160"/>
          <a:ext cx="552240" cy="27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19080</xdr:colOff>
      <xdr:row>0</xdr:row>
      <xdr:rowOff>38160</xdr:rowOff>
    </xdr:from>
    <xdr:to>
      <xdr:col>1</xdr:col>
      <xdr:colOff>342720</xdr:colOff>
      <xdr:row>1</xdr:row>
      <xdr:rowOff>123480</xdr:rowOff>
    </xdr:to>
    <xdr:pic>
      <xdr:nvPicPr>
        <xdr:cNvPr id="19" name="Imagem 1" descr=""/>
        <xdr:cNvPicPr/>
      </xdr:nvPicPr>
      <xdr:blipFill>
        <a:blip r:embed="rId1"/>
        <a:stretch/>
      </xdr:blipFill>
      <xdr:spPr>
        <a:xfrm>
          <a:off x="19080" y="38160"/>
          <a:ext cx="552240" cy="27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146160</xdr:colOff>
      <xdr:row>0</xdr:row>
      <xdr:rowOff>0</xdr:rowOff>
    </xdr:from>
    <xdr:to>
      <xdr:col>1</xdr:col>
      <xdr:colOff>469800</xdr:colOff>
      <xdr:row>1</xdr:row>
      <xdr:rowOff>85320</xdr:rowOff>
    </xdr:to>
    <xdr:pic>
      <xdr:nvPicPr>
        <xdr:cNvPr id="20" name="Imagem 1" descr=""/>
        <xdr:cNvPicPr/>
      </xdr:nvPicPr>
      <xdr:blipFill>
        <a:blip r:embed="rId1"/>
        <a:stretch/>
      </xdr:blipFill>
      <xdr:spPr>
        <a:xfrm>
          <a:off x="146160" y="0"/>
          <a:ext cx="552240" cy="27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19080</xdr:colOff>
      <xdr:row>0</xdr:row>
      <xdr:rowOff>38160</xdr:rowOff>
    </xdr:from>
    <xdr:to>
      <xdr:col>1</xdr:col>
      <xdr:colOff>342720</xdr:colOff>
      <xdr:row>1</xdr:row>
      <xdr:rowOff>123480</xdr:rowOff>
    </xdr:to>
    <xdr:pic>
      <xdr:nvPicPr>
        <xdr:cNvPr id="21" name="Imagem 1" descr=""/>
        <xdr:cNvPicPr/>
      </xdr:nvPicPr>
      <xdr:blipFill>
        <a:blip r:embed="rId1"/>
        <a:stretch/>
      </xdr:blipFill>
      <xdr:spPr>
        <a:xfrm>
          <a:off x="19080" y="38160"/>
          <a:ext cx="552240" cy="27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19080</xdr:colOff>
      <xdr:row>0</xdr:row>
      <xdr:rowOff>38160</xdr:rowOff>
    </xdr:from>
    <xdr:to>
      <xdr:col>1</xdr:col>
      <xdr:colOff>342720</xdr:colOff>
      <xdr:row>1</xdr:row>
      <xdr:rowOff>123480</xdr:rowOff>
    </xdr:to>
    <xdr:pic>
      <xdr:nvPicPr>
        <xdr:cNvPr id="22" name="Imagem 1" descr=""/>
        <xdr:cNvPicPr/>
      </xdr:nvPicPr>
      <xdr:blipFill>
        <a:blip r:embed="rId1"/>
        <a:stretch/>
      </xdr:blipFill>
      <xdr:spPr>
        <a:xfrm>
          <a:off x="19080" y="38160"/>
          <a:ext cx="552240" cy="27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19080</xdr:colOff>
      <xdr:row>0</xdr:row>
      <xdr:rowOff>38160</xdr:rowOff>
    </xdr:from>
    <xdr:to>
      <xdr:col>1</xdr:col>
      <xdr:colOff>342720</xdr:colOff>
      <xdr:row>1</xdr:row>
      <xdr:rowOff>123480</xdr:rowOff>
    </xdr:to>
    <xdr:pic>
      <xdr:nvPicPr>
        <xdr:cNvPr id="23" name="Imagem 1" descr=""/>
        <xdr:cNvPicPr/>
      </xdr:nvPicPr>
      <xdr:blipFill>
        <a:blip r:embed="rId1"/>
        <a:stretch/>
      </xdr:blipFill>
      <xdr:spPr>
        <a:xfrm>
          <a:off x="19080" y="38160"/>
          <a:ext cx="552240" cy="27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19080</xdr:colOff>
      <xdr:row>0</xdr:row>
      <xdr:rowOff>38160</xdr:rowOff>
    </xdr:from>
    <xdr:to>
      <xdr:col>1</xdr:col>
      <xdr:colOff>342720</xdr:colOff>
      <xdr:row>1</xdr:row>
      <xdr:rowOff>123480</xdr:rowOff>
    </xdr:to>
    <xdr:pic>
      <xdr:nvPicPr>
        <xdr:cNvPr id="24" name="Imagem 1" descr=""/>
        <xdr:cNvPicPr/>
      </xdr:nvPicPr>
      <xdr:blipFill>
        <a:blip r:embed="rId1"/>
        <a:stretch/>
      </xdr:blipFill>
      <xdr:spPr>
        <a:xfrm>
          <a:off x="19080" y="38160"/>
          <a:ext cx="552240" cy="27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19080</xdr:colOff>
      <xdr:row>0</xdr:row>
      <xdr:rowOff>38160</xdr:rowOff>
    </xdr:from>
    <xdr:to>
      <xdr:col>1</xdr:col>
      <xdr:colOff>342720</xdr:colOff>
      <xdr:row>1</xdr:row>
      <xdr:rowOff>123480</xdr:rowOff>
    </xdr:to>
    <xdr:pic>
      <xdr:nvPicPr>
        <xdr:cNvPr id="25" name="Imagem 1" descr=""/>
        <xdr:cNvPicPr/>
      </xdr:nvPicPr>
      <xdr:blipFill>
        <a:blip r:embed="rId1"/>
        <a:stretch/>
      </xdr:blipFill>
      <xdr:spPr>
        <a:xfrm>
          <a:off x="19080" y="38160"/>
          <a:ext cx="552240" cy="27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19080</xdr:colOff>
      <xdr:row>0</xdr:row>
      <xdr:rowOff>38160</xdr:rowOff>
    </xdr:from>
    <xdr:to>
      <xdr:col>1</xdr:col>
      <xdr:colOff>342720</xdr:colOff>
      <xdr:row>1</xdr:row>
      <xdr:rowOff>123480</xdr:rowOff>
    </xdr:to>
    <xdr:pic>
      <xdr:nvPicPr>
        <xdr:cNvPr id="26" name="Imagem 1" descr=""/>
        <xdr:cNvPicPr/>
      </xdr:nvPicPr>
      <xdr:blipFill>
        <a:blip r:embed="rId1"/>
        <a:stretch/>
      </xdr:blipFill>
      <xdr:spPr>
        <a:xfrm>
          <a:off x="19080" y="38160"/>
          <a:ext cx="552240" cy="27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19080</xdr:colOff>
      <xdr:row>0</xdr:row>
      <xdr:rowOff>38160</xdr:rowOff>
    </xdr:from>
    <xdr:to>
      <xdr:col>1</xdr:col>
      <xdr:colOff>342720</xdr:colOff>
      <xdr:row>1</xdr:row>
      <xdr:rowOff>123480</xdr:rowOff>
    </xdr:to>
    <xdr:pic>
      <xdr:nvPicPr>
        <xdr:cNvPr id="27" name="Imagem 1" descr=""/>
        <xdr:cNvPicPr/>
      </xdr:nvPicPr>
      <xdr:blipFill>
        <a:blip r:embed="rId1"/>
        <a:stretch/>
      </xdr:blipFill>
      <xdr:spPr>
        <a:xfrm>
          <a:off x="19080" y="38160"/>
          <a:ext cx="552240" cy="27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19080</xdr:colOff>
      <xdr:row>0</xdr:row>
      <xdr:rowOff>38160</xdr:rowOff>
    </xdr:from>
    <xdr:to>
      <xdr:col>1</xdr:col>
      <xdr:colOff>342720</xdr:colOff>
      <xdr:row>1</xdr:row>
      <xdr:rowOff>123480</xdr:rowOff>
    </xdr:to>
    <xdr:pic>
      <xdr:nvPicPr>
        <xdr:cNvPr id="28" name="Imagem 1" descr=""/>
        <xdr:cNvPicPr/>
      </xdr:nvPicPr>
      <xdr:blipFill>
        <a:blip r:embed="rId1"/>
        <a:stretch/>
      </xdr:blipFill>
      <xdr:spPr>
        <a:xfrm>
          <a:off x="19080" y="38160"/>
          <a:ext cx="552240" cy="27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19080</xdr:colOff>
      <xdr:row>0</xdr:row>
      <xdr:rowOff>38160</xdr:rowOff>
    </xdr:from>
    <xdr:to>
      <xdr:col>1</xdr:col>
      <xdr:colOff>342720</xdr:colOff>
      <xdr:row>1</xdr:row>
      <xdr:rowOff>123480</xdr:rowOff>
    </xdr:to>
    <xdr:pic>
      <xdr:nvPicPr>
        <xdr:cNvPr id="29" name="Imagem 1" descr=""/>
        <xdr:cNvPicPr/>
      </xdr:nvPicPr>
      <xdr:blipFill>
        <a:blip r:embed="rId1"/>
        <a:stretch/>
      </xdr:blipFill>
      <xdr:spPr>
        <a:xfrm>
          <a:off x="19080" y="38160"/>
          <a:ext cx="552240" cy="27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19080</xdr:colOff>
      <xdr:row>0</xdr:row>
      <xdr:rowOff>38160</xdr:rowOff>
    </xdr:from>
    <xdr:to>
      <xdr:col>1</xdr:col>
      <xdr:colOff>342720</xdr:colOff>
      <xdr:row>1</xdr:row>
      <xdr:rowOff>123480</xdr:rowOff>
    </xdr:to>
    <xdr:pic>
      <xdr:nvPicPr>
        <xdr:cNvPr id="30" name="Imagem 1" descr=""/>
        <xdr:cNvPicPr/>
      </xdr:nvPicPr>
      <xdr:blipFill>
        <a:blip r:embed="rId1"/>
        <a:stretch/>
      </xdr:blipFill>
      <xdr:spPr>
        <a:xfrm>
          <a:off x="19080" y="38160"/>
          <a:ext cx="552240" cy="27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19080</xdr:colOff>
      <xdr:row>0</xdr:row>
      <xdr:rowOff>38160</xdr:rowOff>
    </xdr:from>
    <xdr:to>
      <xdr:col>1</xdr:col>
      <xdr:colOff>342720</xdr:colOff>
      <xdr:row>1</xdr:row>
      <xdr:rowOff>123480</xdr:rowOff>
    </xdr:to>
    <xdr:pic>
      <xdr:nvPicPr>
        <xdr:cNvPr id="31" name="Imagem 1" descr=""/>
        <xdr:cNvPicPr/>
      </xdr:nvPicPr>
      <xdr:blipFill>
        <a:blip r:embed="rId1"/>
        <a:stretch/>
      </xdr:blipFill>
      <xdr:spPr>
        <a:xfrm>
          <a:off x="19080" y="38160"/>
          <a:ext cx="552240" cy="27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19080</xdr:colOff>
      <xdr:row>0</xdr:row>
      <xdr:rowOff>38160</xdr:rowOff>
    </xdr:from>
    <xdr:to>
      <xdr:col>1</xdr:col>
      <xdr:colOff>342720</xdr:colOff>
      <xdr:row>1</xdr:row>
      <xdr:rowOff>123480</xdr:rowOff>
    </xdr:to>
    <xdr:pic>
      <xdr:nvPicPr>
        <xdr:cNvPr id="32" name="Imagem 1" descr=""/>
        <xdr:cNvPicPr/>
      </xdr:nvPicPr>
      <xdr:blipFill>
        <a:blip r:embed="rId1"/>
        <a:stretch/>
      </xdr:blipFill>
      <xdr:spPr>
        <a:xfrm>
          <a:off x="19080" y="38160"/>
          <a:ext cx="552240" cy="27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19080</xdr:colOff>
      <xdr:row>0</xdr:row>
      <xdr:rowOff>38160</xdr:rowOff>
    </xdr:from>
    <xdr:to>
      <xdr:col>1</xdr:col>
      <xdr:colOff>342720</xdr:colOff>
      <xdr:row>1</xdr:row>
      <xdr:rowOff>123480</xdr:rowOff>
    </xdr:to>
    <xdr:pic>
      <xdr:nvPicPr>
        <xdr:cNvPr id="33" name="Imagem 1" descr=""/>
        <xdr:cNvPicPr/>
      </xdr:nvPicPr>
      <xdr:blipFill>
        <a:blip r:embed="rId1"/>
        <a:stretch/>
      </xdr:blipFill>
      <xdr:spPr>
        <a:xfrm>
          <a:off x="19080" y="38160"/>
          <a:ext cx="552240" cy="27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19080</xdr:colOff>
      <xdr:row>0</xdr:row>
      <xdr:rowOff>38160</xdr:rowOff>
    </xdr:from>
    <xdr:to>
      <xdr:col>1</xdr:col>
      <xdr:colOff>342720</xdr:colOff>
      <xdr:row>1</xdr:row>
      <xdr:rowOff>123480</xdr:rowOff>
    </xdr:to>
    <xdr:pic>
      <xdr:nvPicPr>
        <xdr:cNvPr id="34" name="Imagem 1" descr=""/>
        <xdr:cNvPicPr/>
      </xdr:nvPicPr>
      <xdr:blipFill>
        <a:blip r:embed="rId1"/>
        <a:stretch/>
      </xdr:blipFill>
      <xdr:spPr>
        <a:xfrm>
          <a:off x="19080" y="38160"/>
          <a:ext cx="552240" cy="27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19080</xdr:colOff>
      <xdr:row>0</xdr:row>
      <xdr:rowOff>38160</xdr:rowOff>
    </xdr:from>
    <xdr:to>
      <xdr:col>1</xdr:col>
      <xdr:colOff>342720</xdr:colOff>
      <xdr:row>1</xdr:row>
      <xdr:rowOff>123480</xdr:rowOff>
    </xdr:to>
    <xdr:pic>
      <xdr:nvPicPr>
        <xdr:cNvPr id="35" name="Imagem 1" descr=""/>
        <xdr:cNvPicPr/>
      </xdr:nvPicPr>
      <xdr:blipFill>
        <a:blip r:embed="rId1"/>
        <a:stretch/>
      </xdr:blipFill>
      <xdr:spPr>
        <a:xfrm>
          <a:off x="19080" y="38160"/>
          <a:ext cx="552240" cy="27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19080</xdr:colOff>
      <xdr:row>0</xdr:row>
      <xdr:rowOff>38160</xdr:rowOff>
    </xdr:from>
    <xdr:to>
      <xdr:col>1</xdr:col>
      <xdr:colOff>342720</xdr:colOff>
      <xdr:row>1</xdr:row>
      <xdr:rowOff>123480</xdr:rowOff>
    </xdr:to>
    <xdr:pic>
      <xdr:nvPicPr>
        <xdr:cNvPr id="36" name="Imagem 1" descr=""/>
        <xdr:cNvPicPr/>
      </xdr:nvPicPr>
      <xdr:blipFill>
        <a:blip r:embed="rId1"/>
        <a:stretch/>
      </xdr:blipFill>
      <xdr:spPr>
        <a:xfrm>
          <a:off x="19080" y="38160"/>
          <a:ext cx="552240" cy="27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19080</xdr:colOff>
      <xdr:row>0</xdr:row>
      <xdr:rowOff>38160</xdr:rowOff>
    </xdr:from>
    <xdr:to>
      <xdr:col>1</xdr:col>
      <xdr:colOff>342720</xdr:colOff>
      <xdr:row>1</xdr:row>
      <xdr:rowOff>123480</xdr:rowOff>
    </xdr:to>
    <xdr:pic>
      <xdr:nvPicPr>
        <xdr:cNvPr id="37" name="Imagem 1" descr=""/>
        <xdr:cNvPicPr/>
      </xdr:nvPicPr>
      <xdr:blipFill>
        <a:blip r:embed="rId1"/>
        <a:stretch/>
      </xdr:blipFill>
      <xdr:spPr>
        <a:xfrm>
          <a:off x="19080" y="38160"/>
          <a:ext cx="552240" cy="27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19080</xdr:colOff>
      <xdr:row>0</xdr:row>
      <xdr:rowOff>38160</xdr:rowOff>
    </xdr:from>
    <xdr:to>
      <xdr:col>1</xdr:col>
      <xdr:colOff>342720</xdr:colOff>
      <xdr:row>1</xdr:row>
      <xdr:rowOff>123480</xdr:rowOff>
    </xdr:to>
    <xdr:pic>
      <xdr:nvPicPr>
        <xdr:cNvPr id="38" name="Imagem 1" descr=""/>
        <xdr:cNvPicPr/>
      </xdr:nvPicPr>
      <xdr:blipFill>
        <a:blip r:embed="rId1"/>
        <a:stretch/>
      </xdr:blipFill>
      <xdr:spPr>
        <a:xfrm>
          <a:off x="19080" y="38160"/>
          <a:ext cx="552240" cy="27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19080</xdr:colOff>
      <xdr:row>0</xdr:row>
      <xdr:rowOff>38160</xdr:rowOff>
    </xdr:from>
    <xdr:to>
      <xdr:col>1</xdr:col>
      <xdr:colOff>342720</xdr:colOff>
      <xdr:row>1</xdr:row>
      <xdr:rowOff>123480</xdr:rowOff>
    </xdr:to>
    <xdr:pic>
      <xdr:nvPicPr>
        <xdr:cNvPr id="39" name="Imagem 1" descr=""/>
        <xdr:cNvPicPr/>
      </xdr:nvPicPr>
      <xdr:blipFill>
        <a:blip r:embed="rId1"/>
        <a:stretch/>
      </xdr:blipFill>
      <xdr:spPr>
        <a:xfrm>
          <a:off x="19080" y="38160"/>
          <a:ext cx="552240" cy="27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19080</xdr:colOff>
      <xdr:row>0</xdr:row>
      <xdr:rowOff>38160</xdr:rowOff>
    </xdr:from>
    <xdr:to>
      <xdr:col>1</xdr:col>
      <xdr:colOff>397800</xdr:colOff>
      <xdr:row>1</xdr:row>
      <xdr:rowOff>180720</xdr:rowOff>
    </xdr:to>
    <xdr:pic>
      <xdr:nvPicPr>
        <xdr:cNvPr id="40" name="Imagem 1" descr=""/>
        <xdr:cNvPicPr/>
      </xdr:nvPicPr>
      <xdr:blipFill>
        <a:blip r:embed="rId1"/>
        <a:stretch/>
      </xdr:blipFill>
      <xdr:spPr>
        <a:xfrm>
          <a:off x="19080" y="38160"/>
          <a:ext cx="618840" cy="333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38160</xdr:colOff>
      <xdr:row>0</xdr:row>
      <xdr:rowOff>19080</xdr:rowOff>
    </xdr:from>
    <xdr:to>
      <xdr:col>1</xdr:col>
      <xdr:colOff>352080</xdr:colOff>
      <xdr:row>1</xdr:row>
      <xdr:rowOff>190080</xdr:rowOff>
    </xdr:to>
    <xdr:pic>
      <xdr:nvPicPr>
        <xdr:cNvPr id="41" name="Imagem 1" descr=""/>
        <xdr:cNvPicPr/>
      </xdr:nvPicPr>
      <xdr:blipFill>
        <a:blip r:embed="rId1"/>
        <a:stretch/>
      </xdr:blipFill>
      <xdr:spPr>
        <a:xfrm>
          <a:off x="38160" y="19080"/>
          <a:ext cx="519840" cy="3614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19080</xdr:colOff>
      <xdr:row>0</xdr:row>
      <xdr:rowOff>38160</xdr:rowOff>
    </xdr:from>
    <xdr:to>
      <xdr:col>1</xdr:col>
      <xdr:colOff>342720</xdr:colOff>
      <xdr:row>1</xdr:row>
      <xdr:rowOff>123480</xdr:rowOff>
    </xdr:to>
    <xdr:pic>
      <xdr:nvPicPr>
        <xdr:cNvPr id="42" name="Imagem 1" descr=""/>
        <xdr:cNvPicPr/>
      </xdr:nvPicPr>
      <xdr:blipFill>
        <a:blip r:embed="rId1"/>
        <a:stretch/>
      </xdr:blipFill>
      <xdr:spPr>
        <a:xfrm>
          <a:off x="19080" y="38160"/>
          <a:ext cx="552240" cy="27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19080</xdr:colOff>
      <xdr:row>0</xdr:row>
      <xdr:rowOff>38160</xdr:rowOff>
    </xdr:from>
    <xdr:to>
      <xdr:col>1</xdr:col>
      <xdr:colOff>342720</xdr:colOff>
      <xdr:row>1</xdr:row>
      <xdr:rowOff>123480</xdr:rowOff>
    </xdr:to>
    <xdr:pic>
      <xdr:nvPicPr>
        <xdr:cNvPr id="43" name="Imagem 1" descr=""/>
        <xdr:cNvPicPr/>
      </xdr:nvPicPr>
      <xdr:blipFill>
        <a:blip r:embed="rId1"/>
        <a:stretch/>
      </xdr:blipFill>
      <xdr:spPr>
        <a:xfrm>
          <a:off x="19080" y="38160"/>
          <a:ext cx="552240" cy="27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19080</xdr:colOff>
      <xdr:row>0</xdr:row>
      <xdr:rowOff>38160</xdr:rowOff>
    </xdr:from>
    <xdr:to>
      <xdr:col>1</xdr:col>
      <xdr:colOff>342720</xdr:colOff>
      <xdr:row>1</xdr:row>
      <xdr:rowOff>123480</xdr:rowOff>
    </xdr:to>
    <xdr:pic>
      <xdr:nvPicPr>
        <xdr:cNvPr id="44" name="Imagem 1" descr=""/>
        <xdr:cNvPicPr/>
      </xdr:nvPicPr>
      <xdr:blipFill>
        <a:blip r:embed="rId1"/>
        <a:stretch/>
      </xdr:blipFill>
      <xdr:spPr>
        <a:xfrm>
          <a:off x="19080" y="38160"/>
          <a:ext cx="552240" cy="27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hyperlink" Target="mailto:andrebezerradossantos2021@gmail.com" TargetMode="External"/><Relationship Id="rId2" Type="http://schemas.openxmlformats.org/officeDocument/2006/relationships/hyperlink" Target="mailto:filhosmendes02@gmail.com" TargetMode="External"/><Relationship Id="rId3" Type="http://schemas.openxmlformats.org/officeDocument/2006/relationships/hyperlink" Target="mailto:edivanleao366@gmail.com" TargetMode="External"/><Relationship Id="rId4" Type="http://schemas.openxmlformats.org/officeDocument/2006/relationships/hyperlink" Target="mailto:vagnermiguelcanosa205@gmail.com" TargetMode="External"/><Relationship Id="rId5" Type="http://schemas.openxmlformats.org/officeDocument/2006/relationships/drawing" Target="../drawings/drawing20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hyperlink" Target="mailto:deivinhovitti@icloud.com" TargetMode="External"/><Relationship Id="rId2" Type="http://schemas.openxmlformats.org/officeDocument/2006/relationships/hyperlink" Target="mailto:djoseantonio657@gmail.com" TargetMode="External"/><Relationship Id="rId3" Type="http://schemas.openxmlformats.org/officeDocument/2006/relationships/hyperlink" Target="mailto:RAVIRCH85@GMAIL.COM" TargetMode="External"/><Relationship Id="rId4" Type="http://schemas.openxmlformats.org/officeDocument/2006/relationships/hyperlink" Target="mailto:guettho2015@outlook.com" TargetMode="External"/><Relationship Id="rId5" Type="http://schemas.openxmlformats.org/officeDocument/2006/relationships/hyperlink" Target="mailto:henriquepauloxd01@gmail.com" TargetMode="External"/><Relationship Id="rId6" Type="http://schemas.openxmlformats.org/officeDocument/2006/relationships/drawing" Target="../drawings/drawing21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3.28"/>
    <col collapsed="false" customWidth="true" hidden="false" outlineLevel="0" max="2" min="2" style="0" width="6"/>
    <col collapsed="false" customWidth="true" hidden="false" outlineLevel="0" max="3" min="3" style="0" width="31.57"/>
    <col collapsed="false" customWidth="true" hidden="false" outlineLevel="0" max="4" min="4" style="0" width="10.14"/>
    <col collapsed="false" customWidth="true" hidden="false" outlineLevel="0" max="5" min="5" style="0" width="17.29"/>
    <col collapsed="false" customWidth="true" hidden="false" outlineLevel="0" max="6" min="6" style="0" width="7.86"/>
    <col collapsed="false" customWidth="true" hidden="false" outlineLevel="0" max="7" min="7" style="0" width="13.86"/>
    <col collapsed="false" customWidth="true" hidden="false" outlineLevel="0" max="8" min="8" style="0" width="12.43"/>
    <col collapsed="false" customWidth="true" hidden="false" outlineLevel="0" max="9" min="9" style="0" width="7.86"/>
    <col collapsed="false" customWidth="true" hidden="false" outlineLevel="0" max="10" min="10" style="0" width="5.71"/>
    <col collapsed="false" customWidth="true" hidden="false" outlineLevel="0" max="11" min="11" style="0" width="6.57"/>
    <col collapsed="false" customWidth="true" hidden="false" outlineLevel="0" max="12" min="12" style="0" width="21.57"/>
    <col collapsed="false" customWidth="true" hidden="false" outlineLevel="0" max="13" min="13" style="0" width="9.29"/>
    <col collapsed="false" customWidth="true" hidden="false" outlineLevel="0" max="14" min="14" style="0" width="6.86"/>
    <col collapsed="false" customWidth="true" hidden="false" outlineLevel="0" max="15" min="15" style="0" width="9.14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2.75" hidden="false" customHeight="true" outlineLevel="0" collapsed="false">
      <c r="A3" s="2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</row>
    <row r="4" customFormat="false" ht="12.75" hidden="false" customHeight="true" outlineLevel="0" collapsed="false">
      <c r="A4" s="5"/>
      <c r="B4" s="2"/>
      <c r="C4" s="6" t="s">
        <v>15</v>
      </c>
      <c r="D4" s="7"/>
      <c r="E4" s="2"/>
      <c r="F4" s="2"/>
      <c r="G4" s="2"/>
      <c r="H4" s="2"/>
      <c r="I4" s="2"/>
      <c r="J4" s="2"/>
      <c r="K4" s="2"/>
      <c r="L4" s="8"/>
      <c r="M4" s="9"/>
      <c r="N4" s="3"/>
      <c r="O4" s="3" t="s">
        <v>16</v>
      </c>
    </row>
    <row r="5" customFormat="false" ht="12.75" hidden="false" customHeight="true" outlineLevel="0" collapsed="false">
      <c r="A5" s="5" t="n">
        <v>1</v>
      </c>
      <c r="B5" s="10" t="n">
        <v>808377</v>
      </c>
      <c r="C5" s="11" t="s">
        <v>17</v>
      </c>
      <c r="D5" s="12" t="n">
        <v>35998</v>
      </c>
      <c r="E5" s="11" t="s">
        <v>18</v>
      </c>
      <c r="F5" s="11" t="s">
        <v>19</v>
      </c>
      <c r="G5" s="11" t="s">
        <v>20</v>
      </c>
      <c r="H5" s="11" t="s">
        <v>21</v>
      </c>
      <c r="I5" s="11" t="n">
        <v>79475</v>
      </c>
      <c r="J5" s="11" t="n">
        <v>326</v>
      </c>
      <c r="K5" s="11" t="s">
        <v>22</v>
      </c>
      <c r="L5" s="11" t="s">
        <v>23</v>
      </c>
      <c r="M5" s="13" t="n">
        <v>45688</v>
      </c>
      <c r="N5" s="14" t="n">
        <f aca="false">INT((M5-D5)/365.25)</f>
        <v>26</v>
      </c>
      <c r="O5" s="11" t="s">
        <v>22</v>
      </c>
    </row>
    <row r="6" customFormat="false" ht="12.75" hidden="false" customHeight="true" outlineLevel="0" collapsed="false">
      <c r="A6" s="5" t="n">
        <v>2</v>
      </c>
      <c r="B6" s="10" t="n">
        <v>840923</v>
      </c>
      <c r="C6" s="11" t="s">
        <v>24</v>
      </c>
      <c r="D6" s="12" t="n">
        <v>34788</v>
      </c>
      <c r="E6" s="11" t="s">
        <v>18</v>
      </c>
      <c r="F6" s="11" t="s">
        <v>19</v>
      </c>
      <c r="G6" s="11" t="s">
        <v>25</v>
      </c>
      <c r="H6" s="11" t="s">
        <v>26</v>
      </c>
      <c r="I6" s="11" t="n">
        <v>6059215</v>
      </c>
      <c r="J6" s="11" t="n">
        <v>9396</v>
      </c>
      <c r="K6" s="11" t="s">
        <v>22</v>
      </c>
      <c r="L6" s="11" t="s">
        <v>23</v>
      </c>
      <c r="M6" s="13" t="n">
        <v>45688</v>
      </c>
      <c r="N6" s="14" t="n">
        <f aca="false">INT((M6-D6)/365.25)</f>
        <v>29</v>
      </c>
      <c r="O6" s="11" t="s">
        <v>22</v>
      </c>
    </row>
    <row r="7" customFormat="false" ht="12.75" hidden="false" customHeight="true" outlineLevel="0" collapsed="false">
      <c r="A7" s="5" t="n">
        <v>3</v>
      </c>
      <c r="B7" s="11" t="n">
        <v>865552</v>
      </c>
      <c r="C7" s="11" t="s">
        <v>27</v>
      </c>
      <c r="D7" s="12" t="n">
        <v>35018</v>
      </c>
      <c r="E7" s="11" t="s">
        <v>18</v>
      </c>
      <c r="F7" s="11" t="s">
        <v>19</v>
      </c>
      <c r="G7" s="11" t="s">
        <v>28</v>
      </c>
      <c r="H7" s="11" t="s">
        <v>29</v>
      </c>
      <c r="I7" s="11" t="n">
        <v>695652</v>
      </c>
      <c r="J7" s="11" t="n">
        <v>9319</v>
      </c>
      <c r="K7" s="11" t="s">
        <v>22</v>
      </c>
      <c r="L7" s="11" t="s">
        <v>23</v>
      </c>
      <c r="M7" s="13" t="n">
        <v>45688</v>
      </c>
      <c r="N7" s="14" t="n">
        <f aca="false">INT((M7-D7)/365.25)</f>
        <v>29</v>
      </c>
      <c r="O7" s="11" t="s">
        <v>30</v>
      </c>
    </row>
    <row r="8" customFormat="false" ht="12.75" hidden="false" customHeight="true" outlineLevel="0" collapsed="false">
      <c r="A8" s="5" t="n">
        <v>4</v>
      </c>
      <c r="B8" s="11" t="n">
        <v>865661</v>
      </c>
      <c r="C8" s="11" t="s">
        <v>31</v>
      </c>
      <c r="D8" s="12" t="n">
        <v>33580</v>
      </c>
      <c r="E8" s="11" t="s">
        <v>18</v>
      </c>
      <c r="F8" s="11" t="s">
        <v>19</v>
      </c>
      <c r="G8" s="11" t="s">
        <v>32</v>
      </c>
      <c r="H8" s="11" t="s">
        <v>33</v>
      </c>
      <c r="I8" s="11" t="n">
        <v>6050178</v>
      </c>
      <c r="J8" s="11" t="n">
        <v>1358</v>
      </c>
      <c r="K8" s="11" t="s">
        <v>22</v>
      </c>
      <c r="L8" s="11" t="s">
        <v>23</v>
      </c>
      <c r="M8" s="13" t="n">
        <v>45688</v>
      </c>
      <c r="N8" s="14" t="n">
        <f aca="false">INT((M8-D8)/365.25)</f>
        <v>33</v>
      </c>
      <c r="O8" s="11" t="s">
        <v>30</v>
      </c>
    </row>
    <row r="9" customFormat="false" ht="12.75" hidden="false" customHeight="true" outlineLevel="0" collapsed="false">
      <c r="A9" s="5" t="n">
        <v>5</v>
      </c>
      <c r="B9" s="11" t="n">
        <v>865562</v>
      </c>
      <c r="C9" s="11" t="s">
        <v>34</v>
      </c>
      <c r="D9" s="12" t="n">
        <v>34499</v>
      </c>
      <c r="E9" s="11" t="s">
        <v>18</v>
      </c>
      <c r="F9" s="11" t="s">
        <v>19</v>
      </c>
      <c r="G9" s="11" t="s">
        <v>35</v>
      </c>
      <c r="H9" s="11" t="s">
        <v>36</v>
      </c>
      <c r="I9" s="11" t="n">
        <v>679463</v>
      </c>
      <c r="J9" s="11" t="n">
        <v>389</v>
      </c>
      <c r="K9" s="11" t="s">
        <v>22</v>
      </c>
      <c r="L9" s="11" t="s">
        <v>23</v>
      </c>
      <c r="M9" s="13" t="n">
        <v>45688</v>
      </c>
      <c r="N9" s="14" t="n">
        <f aca="false">INT((M9-D9)/365.25)</f>
        <v>30</v>
      </c>
      <c r="O9" s="11" t="s">
        <v>30</v>
      </c>
    </row>
    <row r="10" customFormat="false" ht="12.75" hidden="false" customHeight="true" outlineLevel="0" collapsed="false">
      <c r="A10" s="5" t="n">
        <v>6</v>
      </c>
      <c r="B10" s="11" t="n">
        <v>829622</v>
      </c>
      <c r="C10" s="11" t="s">
        <v>37</v>
      </c>
      <c r="D10" s="12" t="n">
        <v>34358</v>
      </c>
      <c r="E10" s="11" t="s">
        <v>18</v>
      </c>
      <c r="F10" s="11" t="s">
        <v>19</v>
      </c>
      <c r="G10" s="11" t="s">
        <v>38</v>
      </c>
      <c r="H10" s="11" t="s">
        <v>39</v>
      </c>
      <c r="I10" s="11" t="n">
        <v>6047078</v>
      </c>
      <c r="J10" s="11" t="n">
        <v>390</v>
      </c>
      <c r="K10" s="11" t="s">
        <v>22</v>
      </c>
      <c r="L10" s="11" t="s">
        <v>23</v>
      </c>
      <c r="M10" s="13" t="n">
        <v>45688</v>
      </c>
      <c r="N10" s="14" t="n">
        <f aca="false">INT((M10-D10)/365.25)</f>
        <v>31</v>
      </c>
      <c r="O10" s="11" t="s">
        <v>22</v>
      </c>
    </row>
    <row r="11" customFormat="false" ht="12.75" hidden="false" customHeight="true" outlineLevel="0" collapsed="false">
      <c r="A11" s="5" t="n">
        <v>7</v>
      </c>
      <c r="B11" s="11" t="n">
        <v>865558</v>
      </c>
      <c r="C11" s="11" t="s">
        <v>40</v>
      </c>
      <c r="D11" s="12" t="n">
        <v>35183</v>
      </c>
      <c r="E11" s="11" t="s">
        <v>18</v>
      </c>
      <c r="F11" s="11" t="s">
        <v>19</v>
      </c>
      <c r="G11" s="11" t="s">
        <v>41</v>
      </c>
      <c r="H11" s="11" t="s">
        <v>42</v>
      </c>
      <c r="I11" s="11" t="n">
        <v>5045741</v>
      </c>
      <c r="J11" s="11" t="n">
        <v>40</v>
      </c>
      <c r="K11" s="11" t="s">
        <v>22</v>
      </c>
      <c r="L11" s="11" t="s">
        <v>23</v>
      </c>
      <c r="M11" s="13" t="n">
        <v>45688</v>
      </c>
      <c r="N11" s="14" t="n">
        <f aca="false">INT((M11-D11)/365.25)</f>
        <v>28</v>
      </c>
      <c r="O11" s="11" t="s">
        <v>22</v>
      </c>
    </row>
    <row r="12" customFormat="false" ht="12.75" hidden="false" customHeight="true" outlineLevel="0" collapsed="false">
      <c r="A12" s="5" t="n">
        <v>8</v>
      </c>
      <c r="B12" s="11" t="n">
        <v>856371</v>
      </c>
      <c r="C12" s="11" t="s">
        <v>43</v>
      </c>
      <c r="D12" s="12" t="n">
        <v>36622</v>
      </c>
      <c r="E12" s="11" t="s">
        <v>18</v>
      </c>
      <c r="F12" s="11" t="s">
        <v>19</v>
      </c>
      <c r="G12" s="11" t="s">
        <v>44</v>
      </c>
      <c r="H12" s="11" t="s">
        <v>45</v>
      </c>
      <c r="I12" s="11" t="n">
        <v>790133</v>
      </c>
      <c r="J12" s="11" t="n">
        <v>6366</v>
      </c>
      <c r="K12" s="11" t="s">
        <v>22</v>
      </c>
      <c r="L12" s="11" t="s">
        <v>23</v>
      </c>
      <c r="M12" s="13" t="n">
        <v>45688</v>
      </c>
      <c r="N12" s="14" t="n">
        <f aca="false">INT((M12-D12)/365.25)</f>
        <v>24</v>
      </c>
      <c r="O12" s="11" t="s">
        <v>22</v>
      </c>
    </row>
    <row r="13" customFormat="false" ht="12.75" hidden="false" customHeight="true" outlineLevel="0" collapsed="false">
      <c r="A13" s="5" t="n">
        <v>9</v>
      </c>
      <c r="B13" s="11" t="n">
        <v>853836</v>
      </c>
      <c r="C13" s="11" t="s">
        <v>46</v>
      </c>
      <c r="D13" s="12" t="n">
        <v>35750</v>
      </c>
      <c r="E13" s="11" t="s">
        <v>18</v>
      </c>
      <c r="F13" s="11" t="s">
        <v>19</v>
      </c>
      <c r="G13" s="11" t="s">
        <v>47</v>
      </c>
      <c r="H13" s="11" t="s">
        <v>48</v>
      </c>
      <c r="I13" s="11" t="n">
        <v>754725</v>
      </c>
      <c r="J13" s="11" t="n">
        <v>8395</v>
      </c>
      <c r="K13" s="11" t="s">
        <v>22</v>
      </c>
      <c r="L13" s="11" t="s">
        <v>23</v>
      </c>
      <c r="M13" s="13" t="n">
        <v>45688</v>
      </c>
      <c r="N13" s="14" t="n">
        <f aca="false">INT((M13-D13)/365.25)</f>
        <v>27</v>
      </c>
      <c r="O13" s="11" t="s">
        <v>22</v>
      </c>
    </row>
    <row r="14" customFormat="false" ht="12.75" hidden="false" customHeight="true" outlineLevel="0" collapsed="false">
      <c r="A14" s="5" t="n">
        <v>10</v>
      </c>
      <c r="B14" s="11" t="n">
        <v>851331</v>
      </c>
      <c r="C14" s="11" t="s">
        <v>49</v>
      </c>
      <c r="D14" s="12" t="n">
        <v>36291</v>
      </c>
      <c r="E14" s="11" t="s">
        <v>18</v>
      </c>
      <c r="F14" s="11" t="s">
        <v>19</v>
      </c>
      <c r="G14" s="11" t="s">
        <v>50</v>
      </c>
      <c r="H14" s="11" t="s">
        <v>51</v>
      </c>
      <c r="I14" s="11" t="n">
        <v>832590</v>
      </c>
      <c r="J14" s="11" t="n">
        <v>8351</v>
      </c>
      <c r="K14" s="11" t="s">
        <v>22</v>
      </c>
      <c r="L14" s="11" t="s">
        <v>23</v>
      </c>
      <c r="M14" s="13" t="n">
        <v>45688</v>
      </c>
      <c r="N14" s="14" t="n">
        <f aca="false">INT((M14-D14)/365.25)</f>
        <v>25</v>
      </c>
      <c r="O14" s="11" t="s">
        <v>22</v>
      </c>
    </row>
    <row r="15" customFormat="false" ht="12.75" hidden="false" customHeight="true" outlineLevel="0" collapsed="false">
      <c r="A15" s="5" t="n">
        <v>11</v>
      </c>
      <c r="B15" s="11" t="n">
        <v>865533</v>
      </c>
      <c r="C15" s="11" t="s">
        <v>52</v>
      </c>
      <c r="D15" s="12" t="n">
        <v>35179</v>
      </c>
      <c r="E15" s="11" t="s">
        <v>18</v>
      </c>
      <c r="F15" s="11" t="s">
        <v>19</v>
      </c>
      <c r="G15" s="11" t="s">
        <v>53</v>
      </c>
      <c r="H15" s="11" t="s">
        <v>54</v>
      </c>
      <c r="I15" s="11" t="n">
        <v>5039922</v>
      </c>
      <c r="J15" s="11" t="n">
        <v>40</v>
      </c>
      <c r="K15" s="11" t="s">
        <v>22</v>
      </c>
      <c r="L15" s="11" t="s">
        <v>23</v>
      </c>
      <c r="M15" s="13" t="n">
        <v>45688</v>
      </c>
      <c r="N15" s="14" t="n">
        <f aca="false">INT((M15-D15)/365.25)</f>
        <v>28</v>
      </c>
      <c r="O15" s="11" t="s">
        <v>22</v>
      </c>
    </row>
    <row r="16" customFormat="false" ht="12.75" hidden="false" customHeight="true" outlineLevel="0" collapsed="false">
      <c r="A16" s="5" t="n">
        <v>12</v>
      </c>
      <c r="B16" s="11" t="n">
        <v>823944</v>
      </c>
      <c r="C16" s="11" t="s">
        <v>55</v>
      </c>
      <c r="D16" s="12" t="n">
        <v>36227</v>
      </c>
      <c r="E16" s="11" t="s">
        <v>18</v>
      </c>
      <c r="F16" s="11" t="s">
        <v>19</v>
      </c>
      <c r="G16" s="11" t="s">
        <v>56</v>
      </c>
      <c r="H16" s="11" t="s">
        <v>57</v>
      </c>
      <c r="I16" s="11" t="n">
        <v>650399</v>
      </c>
      <c r="J16" s="11" t="n">
        <v>5369</v>
      </c>
      <c r="K16" s="11" t="s">
        <v>22</v>
      </c>
      <c r="L16" s="11" t="s">
        <v>23</v>
      </c>
      <c r="M16" s="13" t="n">
        <v>45688</v>
      </c>
      <c r="N16" s="14" t="n">
        <f aca="false">INT((M16-D16)/365.25)</f>
        <v>25</v>
      </c>
      <c r="O16" s="11" t="s">
        <v>22</v>
      </c>
    </row>
    <row r="17" customFormat="false" ht="12.75" hidden="false" customHeight="true" outlineLevel="0" collapsed="false">
      <c r="A17" s="5" t="n">
        <v>13</v>
      </c>
      <c r="B17" s="11" t="n">
        <v>833167</v>
      </c>
      <c r="C17" s="11" t="s">
        <v>58</v>
      </c>
      <c r="D17" s="12" t="n">
        <v>35166</v>
      </c>
      <c r="E17" s="11" t="s">
        <v>18</v>
      </c>
      <c r="F17" s="11" t="s">
        <v>19</v>
      </c>
      <c r="G17" s="11" t="s">
        <v>59</v>
      </c>
      <c r="H17" s="11" t="s">
        <v>60</v>
      </c>
      <c r="I17" s="11" t="n">
        <v>777480</v>
      </c>
      <c r="J17" s="11" t="n">
        <v>9309</v>
      </c>
      <c r="K17" s="11" t="s">
        <v>22</v>
      </c>
      <c r="L17" s="11" t="s">
        <v>23</v>
      </c>
      <c r="M17" s="13" t="n">
        <v>45688</v>
      </c>
      <c r="N17" s="14" t="n">
        <f aca="false">INT((M17-D17)/365.25)</f>
        <v>28</v>
      </c>
      <c r="O17" s="11" t="s">
        <v>22</v>
      </c>
    </row>
    <row r="18" customFormat="false" ht="12.75" hidden="false" customHeight="true" outlineLevel="0" collapsed="false">
      <c r="A18" s="5" t="n">
        <v>14</v>
      </c>
      <c r="B18" s="11" t="n">
        <v>839757</v>
      </c>
      <c r="C18" s="11" t="s">
        <v>61</v>
      </c>
      <c r="D18" s="12" t="n">
        <v>31686</v>
      </c>
      <c r="E18" s="11" t="s">
        <v>18</v>
      </c>
      <c r="F18" s="11" t="s">
        <v>19</v>
      </c>
      <c r="G18" s="11" t="s">
        <v>62</v>
      </c>
      <c r="H18" s="11" t="s">
        <v>63</v>
      </c>
      <c r="I18" s="11" t="n">
        <v>7714386</v>
      </c>
      <c r="J18" s="11" t="n">
        <v>30</v>
      </c>
      <c r="K18" s="11" t="s">
        <v>30</v>
      </c>
      <c r="L18" s="11" t="s">
        <v>23</v>
      </c>
      <c r="M18" s="13" t="n">
        <v>45688</v>
      </c>
      <c r="N18" s="14" t="n">
        <f aca="false">INT((M18-D18)/365.25)</f>
        <v>38</v>
      </c>
      <c r="O18" s="11" t="s">
        <v>22</v>
      </c>
    </row>
    <row r="19" customFormat="false" ht="12.75" hidden="false" customHeight="true" outlineLevel="0" collapsed="false">
      <c r="A19" s="5" t="n">
        <v>15</v>
      </c>
      <c r="B19" s="11" t="n">
        <v>853838</v>
      </c>
      <c r="C19" s="11" t="s">
        <v>64</v>
      </c>
      <c r="D19" s="12" t="n">
        <v>34886</v>
      </c>
      <c r="E19" s="11" t="s">
        <v>18</v>
      </c>
      <c r="F19" s="11" t="s">
        <v>19</v>
      </c>
      <c r="G19" s="11" t="s">
        <v>65</v>
      </c>
      <c r="H19" s="11" t="s">
        <v>66</v>
      </c>
      <c r="I19" s="11" t="n">
        <v>1922255</v>
      </c>
      <c r="J19" s="11" t="n">
        <v>40</v>
      </c>
      <c r="K19" s="11" t="s">
        <v>22</v>
      </c>
      <c r="L19" s="11" t="s">
        <v>23</v>
      </c>
      <c r="M19" s="13" t="n">
        <v>45688</v>
      </c>
      <c r="N19" s="14" t="n">
        <f aca="false">INT((M19-D19)/365.25)</f>
        <v>29</v>
      </c>
      <c r="O19" s="11" t="s">
        <v>22</v>
      </c>
    </row>
    <row r="20" customFormat="false" ht="12.75" hidden="false" customHeight="true" outlineLevel="0" collapsed="false">
      <c r="A20" s="5" t="n">
        <v>16</v>
      </c>
      <c r="B20" s="10" t="n">
        <v>856036</v>
      </c>
      <c r="C20" s="11" t="s">
        <v>67</v>
      </c>
      <c r="D20" s="12" t="n">
        <v>35896</v>
      </c>
      <c r="E20" s="11" t="s">
        <v>18</v>
      </c>
      <c r="F20" s="11" t="s">
        <v>19</v>
      </c>
      <c r="G20" s="11" t="s">
        <v>68</v>
      </c>
      <c r="H20" s="15" t="n">
        <v>10537125</v>
      </c>
      <c r="I20" s="11" t="n">
        <v>1190426</v>
      </c>
      <c r="J20" s="11" t="n">
        <v>4476</v>
      </c>
      <c r="K20" s="11" t="s">
        <v>30</v>
      </c>
      <c r="L20" s="11" t="s">
        <v>23</v>
      </c>
      <c r="M20" s="13" t="n">
        <v>45688</v>
      </c>
      <c r="N20" s="14" t="n">
        <f aca="false">INT((M20-D20)/365.25)</f>
        <v>26</v>
      </c>
      <c r="O20" s="11" t="s">
        <v>22</v>
      </c>
    </row>
    <row r="21" customFormat="false" ht="12.75" hidden="false" customHeight="true" outlineLevel="0" collapsed="false">
      <c r="A21" s="5" t="n">
        <v>17</v>
      </c>
      <c r="B21" s="11" t="n">
        <v>855916</v>
      </c>
      <c r="C21" s="11" t="s">
        <v>69</v>
      </c>
      <c r="D21" s="12" t="n">
        <v>38216</v>
      </c>
      <c r="E21" s="11" t="s">
        <v>18</v>
      </c>
      <c r="F21" s="11" t="s">
        <v>19</v>
      </c>
      <c r="G21" s="11" t="s">
        <v>70</v>
      </c>
      <c r="H21" s="11" t="s">
        <v>71</v>
      </c>
      <c r="I21" s="11" t="n">
        <v>866500</v>
      </c>
      <c r="J21" s="11" t="n">
        <v>305</v>
      </c>
      <c r="K21" s="11" t="s">
        <v>22</v>
      </c>
      <c r="L21" s="11" t="s">
        <v>23</v>
      </c>
      <c r="M21" s="13" t="n">
        <v>45688</v>
      </c>
      <c r="N21" s="14" t="n">
        <f aca="false">INT((M21-D21)/365.25)</f>
        <v>20</v>
      </c>
      <c r="O21" s="11" t="s">
        <v>22</v>
      </c>
    </row>
    <row r="22" s="16" customFormat="true" ht="12.75" hidden="false" customHeight="true" outlineLevel="0" collapsed="false">
      <c r="A22" s="5" t="n">
        <v>18</v>
      </c>
      <c r="B22" s="11" t="n">
        <v>842845</v>
      </c>
      <c r="C22" s="11" t="s">
        <v>72</v>
      </c>
      <c r="D22" s="12" t="n">
        <v>37902</v>
      </c>
      <c r="E22" s="11" t="s">
        <v>18</v>
      </c>
      <c r="F22" s="11" t="s">
        <v>19</v>
      </c>
      <c r="G22" s="11" t="s">
        <v>73</v>
      </c>
      <c r="H22" s="11" t="s">
        <v>74</v>
      </c>
      <c r="I22" s="11" t="n">
        <v>894841</v>
      </c>
      <c r="J22" s="11" t="n">
        <v>4321</v>
      </c>
      <c r="K22" s="11" t="s">
        <v>30</v>
      </c>
      <c r="L22" s="11" t="s">
        <v>23</v>
      </c>
      <c r="M22" s="13" t="n">
        <v>45688</v>
      </c>
      <c r="N22" s="14" t="n">
        <f aca="false">INT((M22-D22)/365.25)</f>
        <v>21</v>
      </c>
      <c r="O22" s="11" t="s">
        <v>22</v>
      </c>
    </row>
    <row r="23" customFormat="false" ht="12.75" hidden="false" customHeight="true" outlineLevel="0" collapsed="false">
      <c r="A23" s="5" t="n">
        <v>19</v>
      </c>
      <c r="B23" s="11" t="n">
        <v>862048</v>
      </c>
      <c r="C23" s="11" t="s">
        <v>75</v>
      </c>
      <c r="D23" s="12" t="n">
        <v>37876</v>
      </c>
      <c r="E23" s="11" t="s">
        <v>18</v>
      </c>
      <c r="F23" s="11" t="s">
        <v>19</v>
      </c>
      <c r="G23" s="11" t="s">
        <v>76</v>
      </c>
      <c r="H23" s="11" t="s">
        <v>77</v>
      </c>
      <c r="I23" s="11" t="n">
        <v>916041</v>
      </c>
      <c r="J23" s="11" t="n">
        <v>5304</v>
      </c>
      <c r="K23" s="11" t="s">
        <v>22</v>
      </c>
      <c r="L23" s="11" t="s">
        <v>23</v>
      </c>
      <c r="M23" s="13" t="n">
        <v>45688</v>
      </c>
      <c r="N23" s="14" t="n">
        <f aca="false">INT((M23-D23)/365.25)</f>
        <v>21</v>
      </c>
      <c r="O23" s="11" t="s">
        <v>22</v>
      </c>
    </row>
    <row r="24" customFormat="false" ht="12.75" hidden="false" customHeight="true" outlineLevel="0" collapsed="false">
      <c r="A24" s="5" t="n">
        <v>20</v>
      </c>
      <c r="B24" s="11" t="n">
        <v>865565</v>
      </c>
      <c r="C24" s="11" t="s">
        <v>78</v>
      </c>
      <c r="D24" s="12" t="n">
        <v>29819</v>
      </c>
      <c r="E24" s="11" t="s">
        <v>18</v>
      </c>
      <c r="F24" s="11" t="s">
        <v>19</v>
      </c>
      <c r="G24" s="11" t="s">
        <v>79</v>
      </c>
      <c r="H24" s="11" t="s">
        <v>80</v>
      </c>
      <c r="I24" s="11" t="n">
        <v>323032</v>
      </c>
      <c r="J24" s="11" t="n">
        <v>1332</v>
      </c>
      <c r="K24" s="11" t="s">
        <v>30</v>
      </c>
      <c r="L24" s="11" t="s">
        <v>23</v>
      </c>
      <c r="M24" s="13" t="n">
        <v>45688</v>
      </c>
      <c r="N24" s="14" t="n">
        <f aca="false">INT((M24-D24)/365.25)</f>
        <v>43</v>
      </c>
      <c r="O24" s="11" t="s">
        <v>30</v>
      </c>
    </row>
    <row r="25" customFormat="false" ht="12.75" hidden="false" customHeight="true" outlineLevel="0" collapsed="false">
      <c r="A25" s="5" t="n">
        <v>21</v>
      </c>
      <c r="B25" s="11" t="n">
        <v>865554</v>
      </c>
      <c r="C25" s="11" t="s">
        <v>81</v>
      </c>
      <c r="D25" s="12" t="n">
        <v>37187</v>
      </c>
      <c r="E25" s="11" t="s">
        <v>18</v>
      </c>
      <c r="F25" s="11" t="s">
        <v>19</v>
      </c>
      <c r="G25" s="11" t="s">
        <v>82</v>
      </c>
      <c r="H25" s="11" t="s">
        <v>83</v>
      </c>
      <c r="I25" s="11" t="n">
        <v>6335686</v>
      </c>
      <c r="J25" s="11" t="n">
        <v>313</v>
      </c>
      <c r="K25" s="11" t="s">
        <v>22</v>
      </c>
      <c r="L25" s="11" t="s">
        <v>23</v>
      </c>
      <c r="M25" s="13" t="n">
        <v>45688</v>
      </c>
      <c r="N25" s="14" t="n">
        <f aca="false">INT((M25-D25)/365.25)</f>
        <v>23</v>
      </c>
      <c r="O25" s="11" t="s">
        <v>30</v>
      </c>
    </row>
    <row r="26" customFormat="false" ht="12.75" hidden="false" customHeight="true" outlineLevel="0" collapsed="false">
      <c r="A26" s="5" t="n">
        <v>22</v>
      </c>
      <c r="B26" s="11" t="n">
        <v>855877</v>
      </c>
      <c r="C26" s="11" t="s">
        <v>84</v>
      </c>
      <c r="D26" s="12" t="n">
        <v>37058</v>
      </c>
      <c r="E26" s="11" t="s">
        <v>18</v>
      </c>
      <c r="F26" s="11" t="s">
        <v>19</v>
      </c>
      <c r="G26" s="11" t="s">
        <v>85</v>
      </c>
      <c r="H26" s="11" t="s">
        <v>86</v>
      </c>
      <c r="I26" s="11" t="n">
        <v>854849</v>
      </c>
      <c r="J26" s="11" t="n">
        <v>7343</v>
      </c>
      <c r="K26" s="11" t="s">
        <v>22</v>
      </c>
      <c r="L26" s="11" t="s">
        <v>23</v>
      </c>
      <c r="M26" s="13" t="n">
        <v>45688</v>
      </c>
      <c r="N26" s="14" t="n">
        <f aca="false">INT((M26-D26)/365.25)</f>
        <v>23</v>
      </c>
      <c r="O26" s="11" t="s">
        <v>22</v>
      </c>
    </row>
    <row r="27" customFormat="false" ht="12.75" hidden="false" customHeight="true" outlineLevel="0" collapsed="false">
      <c r="A27" s="5" t="n">
        <v>23</v>
      </c>
      <c r="B27" s="11" t="n">
        <v>843175</v>
      </c>
      <c r="C27" s="11" t="s">
        <v>87</v>
      </c>
      <c r="D27" s="12" t="n">
        <v>37662</v>
      </c>
      <c r="E27" s="11" t="s">
        <v>18</v>
      </c>
      <c r="F27" s="11" t="s">
        <v>19</v>
      </c>
      <c r="G27" s="11" t="s">
        <v>88</v>
      </c>
      <c r="H27" s="11" t="s">
        <v>89</v>
      </c>
      <c r="I27" s="11" t="n">
        <v>866347</v>
      </c>
      <c r="J27" s="11" t="n">
        <v>9336</v>
      </c>
      <c r="K27" s="11" t="s">
        <v>30</v>
      </c>
      <c r="L27" s="11" t="s">
        <v>23</v>
      </c>
      <c r="M27" s="13" t="n">
        <v>45688</v>
      </c>
      <c r="N27" s="14" t="n">
        <f aca="false">INT((M27-D27)/365.25)</f>
        <v>21</v>
      </c>
      <c r="O27" s="11" t="s">
        <v>22</v>
      </c>
    </row>
    <row r="28" customFormat="false" ht="12.75" hidden="false" customHeight="true" outlineLevel="0" collapsed="false">
      <c r="A28" s="5" t="n">
        <v>24</v>
      </c>
      <c r="B28" s="11" t="n">
        <v>865563</v>
      </c>
      <c r="C28" s="11" t="s">
        <v>90</v>
      </c>
      <c r="D28" s="12" t="n">
        <v>33445</v>
      </c>
      <c r="E28" s="11" t="s">
        <v>18</v>
      </c>
      <c r="F28" s="11" t="s">
        <v>19</v>
      </c>
      <c r="G28" s="15" t="s">
        <v>91</v>
      </c>
      <c r="H28" s="11" t="n">
        <v>8437415</v>
      </c>
      <c r="I28" s="11" t="n">
        <v>948996</v>
      </c>
      <c r="J28" s="11" t="n">
        <v>1450</v>
      </c>
      <c r="K28" s="11" t="s">
        <v>22</v>
      </c>
      <c r="L28" s="11" t="s">
        <v>23</v>
      </c>
      <c r="M28" s="13" t="n">
        <v>45688</v>
      </c>
      <c r="N28" s="14" t="n">
        <f aca="false">INT((M28-D28)/365.25)</f>
        <v>33</v>
      </c>
      <c r="O28" s="11" t="s">
        <v>30</v>
      </c>
    </row>
    <row r="29" customFormat="false" ht="12.75" hidden="false" customHeight="true" outlineLevel="0" collapsed="false">
      <c r="A29" s="5" t="n">
        <v>25</v>
      </c>
      <c r="B29" s="11" t="n">
        <v>855292</v>
      </c>
      <c r="C29" s="11" t="s">
        <v>92</v>
      </c>
      <c r="D29" s="12" t="n">
        <v>37312</v>
      </c>
      <c r="E29" s="11" t="s">
        <v>18</v>
      </c>
      <c r="F29" s="11" t="s">
        <v>19</v>
      </c>
      <c r="G29" s="11" t="s">
        <v>93</v>
      </c>
      <c r="H29" s="11" t="s">
        <v>94</v>
      </c>
      <c r="I29" s="11" t="n">
        <v>875892</v>
      </c>
      <c r="J29" s="11" t="n">
        <v>1300</v>
      </c>
      <c r="K29" s="11" t="s">
        <v>22</v>
      </c>
      <c r="L29" s="11" t="s">
        <v>23</v>
      </c>
      <c r="M29" s="13" t="n">
        <v>45688</v>
      </c>
      <c r="N29" s="14" t="n">
        <f aca="false">INT((M29-D29)/365.25)</f>
        <v>22</v>
      </c>
      <c r="O29" s="11" t="s">
        <v>22</v>
      </c>
    </row>
    <row r="30" customFormat="false" ht="12.75" hidden="false" customHeight="true" outlineLevel="0" collapsed="false">
      <c r="A30" s="5" t="n">
        <v>26</v>
      </c>
      <c r="B30" s="11" t="n">
        <v>855268</v>
      </c>
      <c r="C30" s="11" t="s">
        <v>95</v>
      </c>
      <c r="D30" s="12" t="n">
        <v>38510</v>
      </c>
      <c r="E30" s="11" t="s">
        <v>18</v>
      </c>
      <c r="F30" s="11" t="s">
        <v>19</v>
      </c>
      <c r="G30" s="11" t="s">
        <v>96</v>
      </c>
      <c r="H30" s="11" t="s">
        <v>97</v>
      </c>
      <c r="I30" s="11" t="n">
        <v>923961</v>
      </c>
      <c r="J30" s="11" t="n">
        <v>5342</v>
      </c>
      <c r="K30" s="11" t="s">
        <v>22</v>
      </c>
      <c r="L30" s="11" t="s">
        <v>23</v>
      </c>
      <c r="M30" s="13" t="n">
        <v>45688</v>
      </c>
      <c r="N30" s="14" t="n">
        <f aca="false">INT((M30-D30)/365.25)</f>
        <v>19</v>
      </c>
      <c r="O30" s="11" t="s">
        <v>22</v>
      </c>
    </row>
    <row r="31" customFormat="false" ht="12.75" hidden="false" customHeight="true" outlineLevel="0" collapsed="false">
      <c r="A31" s="5" t="n">
        <v>27</v>
      </c>
      <c r="B31" s="11" t="n">
        <v>818789</v>
      </c>
      <c r="C31" s="11" t="s">
        <v>98</v>
      </c>
      <c r="D31" s="12" t="n">
        <v>37013</v>
      </c>
      <c r="E31" s="11" t="s">
        <v>18</v>
      </c>
      <c r="F31" s="11" t="s">
        <v>19</v>
      </c>
      <c r="G31" s="11" t="s">
        <v>99</v>
      </c>
      <c r="H31" s="11" t="s">
        <v>100</v>
      </c>
      <c r="I31" s="11" t="n">
        <v>880227</v>
      </c>
      <c r="J31" s="11" t="n">
        <v>9314</v>
      </c>
      <c r="K31" s="11" t="s">
        <v>22</v>
      </c>
      <c r="L31" s="11" t="s">
        <v>23</v>
      </c>
      <c r="M31" s="13" t="n">
        <v>45688</v>
      </c>
      <c r="N31" s="14" t="n">
        <f aca="false">INT((M31-D31)/365.25)</f>
        <v>23</v>
      </c>
      <c r="O31" s="11" t="s">
        <v>22</v>
      </c>
    </row>
    <row r="32" customFormat="false" ht="12.75" hidden="false" customHeight="true" outlineLevel="0" collapsed="false">
      <c r="A32" s="5" t="n">
        <v>28</v>
      </c>
      <c r="B32" s="11" t="n">
        <v>865664</v>
      </c>
      <c r="C32" s="11" t="s">
        <v>101</v>
      </c>
      <c r="D32" s="12" t="n">
        <v>35365</v>
      </c>
      <c r="E32" s="11" t="s">
        <v>18</v>
      </c>
      <c r="F32" s="11" t="s">
        <v>19</v>
      </c>
      <c r="G32" s="11" t="s">
        <v>102</v>
      </c>
      <c r="H32" s="11" t="n">
        <v>541162597</v>
      </c>
      <c r="I32" s="11" t="n">
        <v>4964498</v>
      </c>
      <c r="J32" s="11" t="n">
        <v>8833</v>
      </c>
      <c r="K32" s="11" t="s">
        <v>22</v>
      </c>
      <c r="L32" s="11" t="s">
        <v>23</v>
      </c>
      <c r="M32" s="13" t="n">
        <v>45688</v>
      </c>
      <c r="N32" s="14" t="n">
        <f aca="false">INT((M32-D32)/365.25)</f>
        <v>28</v>
      </c>
      <c r="O32" s="11" t="s">
        <v>30</v>
      </c>
    </row>
    <row r="33" customFormat="false" ht="12.75" hidden="false" customHeight="true" outlineLevel="0" collapsed="false">
      <c r="A33" s="5" t="n">
        <v>29</v>
      </c>
      <c r="B33" s="17" t="n">
        <v>750110</v>
      </c>
      <c r="C33" s="17" t="s">
        <v>103</v>
      </c>
      <c r="D33" s="12" t="n">
        <v>35402</v>
      </c>
      <c r="E33" s="11" t="s">
        <v>104</v>
      </c>
      <c r="F33" s="11" t="s">
        <v>19</v>
      </c>
      <c r="G33" s="17" t="s">
        <v>105</v>
      </c>
      <c r="H33" s="17" t="s">
        <v>106</v>
      </c>
      <c r="I33" s="17" t="n">
        <v>839267</v>
      </c>
      <c r="J33" s="17" t="n">
        <v>9326</v>
      </c>
      <c r="K33" s="17" t="s">
        <v>22</v>
      </c>
      <c r="L33" s="11" t="s">
        <v>23</v>
      </c>
      <c r="M33" s="13" t="n">
        <v>45688</v>
      </c>
      <c r="N33" s="14" t="n">
        <f aca="false">INT((M33-D33)/365.25)</f>
        <v>28</v>
      </c>
      <c r="O33" s="11" t="s">
        <v>22</v>
      </c>
    </row>
    <row r="34" customFormat="false" ht="12.75" hidden="false" customHeight="true" outlineLevel="0" collapsed="false">
      <c r="A34" s="5" t="n">
        <v>30</v>
      </c>
      <c r="B34" s="11" t="n">
        <v>823940</v>
      </c>
      <c r="C34" s="11" t="s">
        <v>107</v>
      </c>
      <c r="D34" s="12" t="n">
        <v>37730</v>
      </c>
      <c r="E34" s="11" t="s">
        <v>104</v>
      </c>
      <c r="F34" s="11" t="s">
        <v>19</v>
      </c>
      <c r="G34" s="11" t="s">
        <v>108</v>
      </c>
      <c r="H34" s="11" t="n">
        <v>11582487</v>
      </c>
      <c r="I34" s="11" t="n">
        <v>1275494</v>
      </c>
      <c r="J34" s="11" t="n">
        <v>1452</v>
      </c>
      <c r="K34" s="11" t="s">
        <v>22</v>
      </c>
      <c r="L34" s="11" t="s">
        <v>23</v>
      </c>
      <c r="M34" s="13" t="n">
        <v>45688</v>
      </c>
      <c r="N34" s="14" t="n">
        <f aca="false">INT((M34-D34)/365.25)</f>
        <v>21</v>
      </c>
      <c r="O34" s="11" t="s">
        <v>30</v>
      </c>
    </row>
    <row r="35" customFormat="false" ht="12.75" hidden="false" customHeight="true" outlineLevel="0" collapsed="false">
      <c r="A35" s="5" t="n">
        <v>31</v>
      </c>
      <c r="B35" s="11" t="n">
        <v>798394</v>
      </c>
      <c r="C35" s="11" t="s">
        <v>109</v>
      </c>
      <c r="D35" s="12" t="n">
        <v>31594</v>
      </c>
      <c r="E35" s="11" t="s">
        <v>104</v>
      </c>
      <c r="F35" s="11" t="s">
        <v>19</v>
      </c>
      <c r="G35" s="11" t="s">
        <v>110</v>
      </c>
      <c r="H35" s="11" t="s">
        <v>111</v>
      </c>
      <c r="I35" s="11" t="n">
        <v>73609</v>
      </c>
      <c r="J35" s="11" t="n">
        <v>54</v>
      </c>
      <c r="K35" s="11" t="s">
        <v>30</v>
      </c>
      <c r="L35" s="11" t="s">
        <v>23</v>
      </c>
      <c r="M35" s="13" t="n">
        <v>45688</v>
      </c>
      <c r="N35" s="14" t="n">
        <f aca="false">INT((M35-D35)/365.25)</f>
        <v>38</v>
      </c>
      <c r="O35" s="11" t="s">
        <v>22</v>
      </c>
    </row>
    <row r="36" customFormat="false" ht="12.75" hidden="false" customHeight="true" outlineLevel="0" collapsed="false">
      <c r="A36" s="5" t="n">
        <v>32</v>
      </c>
      <c r="B36" s="11" t="n">
        <v>851971</v>
      </c>
      <c r="C36" s="11" t="s">
        <v>112</v>
      </c>
      <c r="D36" s="12" t="n">
        <v>38481</v>
      </c>
      <c r="E36" s="11" t="s">
        <v>104</v>
      </c>
      <c r="F36" s="11" t="s">
        <v>19</v>
      </c>
      <c r="G36" s="11" t="s">
        <v>113</v>
      </c>
      <c r="H36" s="11" t="s">
        <v>114</v>
      </c>
      <c r="I36" s="11" t="n">
        <v>913803</v>
      </c>
      <c r="J36" s="11" t="n">
        <v>4301</v>
      </c>
      <c r="K36" s="11" t="s">
        <v>22</v>
      </c>
      <c r="L36" s="11" t="s">
        <v>23</v>
      </c>
      <c r="M36" s="13" t="n">
        <v>45688</v>
      </c>
      <c r="N36" s="14" t="n">
        <f aca="false">INT((M36-D36)/365.25)</f>
        <v>19</v>
      </c>
      <c r="O36" s="11" t="s">
        <v>22</v>
      </c>
    </row>
    <row r="37" customFormat="false" ht="12.75" hidden="false" customHeight="true" outlineLevel="0" collapsed="false">
      <c r="A37" s="5" t="n">
        <v>33</v>
      </c>
      <c r="B37" s="11" t="n">
        <v>750240</v>
      </c>
      <c r="C37" s="11" t="s">
        <v>115</v>
      </c>
      <c r="D37" s="12" t="n">
        <v>35197</v>
      </c>
      <c r="E37" s="11" t="s">
        <v>104</v>
      </c>
      <c r="F37" s="11" t="s">
        <v>19</v>
      </c>
      <c r="G37" s="11" t="s">
        <v>116</v>
      </c>
      <c r="H37" s="11" t="s">
        <v>117</v>
      </c>
      <c r="I37" s="11" t="n">
        <v>746008</v>
      </c>
      <c r="J37" s="11" t="n">
        <v>1396</v>
      </c>
      <c r="K37" s="11" t="s">
        <v>22</v>
      </c>
      <c r="L37" s="11" t="s">
        <v>23</v>
      </c>
      <c r="M37" s="13" t="n">
        <v>45695</v>
      </c>
      <c r="N37" s="14" t="n">
        <f aca="false">INT((M37-D37)/365.25)</f>
        <v>28</v>
      </c>
      <c r="O37" s="11" t="s">
        <v>22</v>
      </c>
    </row>
    <row r="38" customFormat="false" ht="12.75" hidden="false" customHeight="true" outlineLevel="0" collapsed="false">
      <c r="A38" s="5" t="n">
        <v>34</v>
      </c>
      <c r="B38" s="11" t="n">
        <v>847543</v>
      </c>
      <c r="C38" s="11" t="s">
        <v>118</v>
      </c>
      <c r="D38" s="12" t="n">
        <v>31554</v>
      </c>
      <c r="E38" s="11" t="s">
        <v>104</v>
      </c>
      <c r="F38" s="11" t="s">
        <v>19</v>
      </c>
      <c r="G38" s="11" t="s">
        <v>119</v>
      </c>
      <c r="H38" s="11" t="s">
        <v>120</v>
      </c>
      <c r="I38" s="11" t="n">
        <v>356953</v>
      </c>
      <c r="J38" s="11" t="n">
        <v>8311</v>
      </c>
      <c r="K38" s="11" t="s">
        <v>30</v>
      </c>
      <c r="L38" s="11" t="s">
        <v>23</v>
      </c>
      <c r="M38" s="13" t="n">
        <v>45695</v>
      </c>
      <c r="N38" s="14" t="n">
        <f aca="false">INT((M38-D38)/365.25)</f>
        <v>38</v>
      </c>
      <c r="O38" s="11" t="s">
        <v>22</v>
      </c>
    </row>
  </sheetData>
  <mergeCells count="1">
    <mergeCell ref="A1:N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3.28"/>
    <col collapsed="false" customWidth="true" hidden="false" outlineLevel="0" max="2" min="2" style="0" width="6"/>
    <col collapsed="false" customWidth="true" hidden="false" outlineLevel="0" max="3" min="3" style="0" width="34.43"/>
    <col collapsed="false" customWidth="true" hidden="false" outlineLevel="0" max="4" min="4" style="0" width="9.29"/>
    <col collapsed="false" customWidth="true" hidden="false" outlineLevel="0" max="5" min="5" style="0" width="19.15"/>
    <col collapsed="false" customWidth="true" hidden="false" outlineLevel="0" max="6" min="6" style="0" width="6.43"/>
    <col collapsed="false" customWidth="true" hidden="false" outlineLevel="0" max="7" min="7" style="0" width="11.57"/>
    <col collapsed="false" customWidth="true" hidden="false" outlineLevel="0" max="8" min="8" style="0" width="10.71"/>
    <col collapsed="false" customWidth="true" hidden="false" outlineLevel="0" max="9" min="9" style="0" width="7.15"/>
    <col collapsed="false" customWidth="true" hidden="false" outlineLevel="0" max="10" min="10" style="0" width="4.72"/>
    <col collapsed="false" customWidth="true" hidden="false" outlineLevel="0" max="11" min="11" style="0" width="5.29"/>
    <col collapsed="false" customWidth="true" hidden="false" outlineLevel="0" max="12" min="12" style="0" width="19.86"/>
    <col collapsed="false" customWidth="true" hidden="false" outlineLevel="0" max="13" min="13" style="0" width="8.72"/>
    <col collapsed="false" customWidth="true" hidden="false" outlineLevel="0" max="14" min="14" style="0" width="5.57"/>
    <col collapsed="false" customWidth="true" hidden="true" outlineLevel="0" max="15" min="15" style="0" width="9.14"/>
    <col collapsed="false" customWidth="true" hidden="false" outlineLevel="0" max="16" min="16" style="0" width="6.86"/>
    <col collapsed="false" customWidth="true" hidden="true" outlineLevel="0" max="17" min="17" style="0" width="10"/>
  </cols>
  <sheetData>
    <row r="1" customFormat="false" ht="15" hidden="false" customHeight="false" outlineLevel="0" collapsed="false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customFormat="false" ht="15" hidden="false" customHeight="false" outlineLevel="0" collapsed="false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customFormat="false" ht="15" hidden="false" customHeight="false" outlineLevel="0" collapsed="false">
      <c r="A3" s="19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20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16</v>
      </c>
      <c r="Q3" s="6" t="s">
        <v>121</v>
      </c>
    </row>
    <row r="4" customFormat="false" ht="15" hidden="false" customHeight="false" outlineLevel="0" collapsed="false">
      <c r="A4" s="21"/>
      <c r="B4" s="2"/>
      <c r="C4" s="6" t="s">
        <v>122</v>
      </c>
      <c r="D4" s="7"/>
      <c r="E4" s="2"/>
      <c r="F4" s="2"/>
      <c r="G4" s="2"/>
      <c r="H4" s="2"/>
      <c r="I4" s="2"/>
      <c r="J4" s="2"/>
      <c r="K4" s="2"/>
      <c r="L4" s="8"/>
      <c r="M4" s="22"/>
      <c r="N4" s="6"/>
      <c r="O4" s="6"/>
      <c r="P4" s="6"/>
      <c r="Q4" s="6"/>
    </row>
    <row r="5" customFormat="false" ht="15" hidden="true" customHeight="false" outlineLevel="0" collapsed="false">
      <c r="A5" s="23" t="n">
        <v>1</v>
      </c>
      <c r="B5" s="10" t="n">
        <v>865569</v>
      </c>
      <c r="C5" s="11" t="s">
        <v>123</v>
      </c>
      <c r="D5" s="12" t="n">
        <v>36758</v>
      </c>
      <c r="E5" s="11" t="s">
        <v>124</v>
      </c>
      <c r="F5" s="11" t="s">
        <v>19</v>
      </c>
      <c r="G5" s="11" t="s">
        <v>125</v>
      </c>
      <c r="H5" s="11" t="s">
        <v>126</v>
      </c>
      <c r="I5" s="11" t="n">
        <v>6387841</v>
      </c>
      <c r="J5" s="11" t="n">
        <v>3300</v>
      </c>
      <c r="K5" s="11" t="s">
        <v>22</v>
      </c>
      <c r="L5" s="11" t="s">
        <v>127</v>
      </c>
      <c r="M5" s="24" t="n">
        <v>45686</v>
      </c>
      <c r="N5" s="25" t="n">
        <f aca="false">INT((M5-D5)/365.25)</f>
        <v>24</v>
      </c>
      <c r="O5" s="12" t="s">
        <v>30</v>
      </c>
      <c r="P5" s="12" t="s">
        <v>22</v>
      </c>
      <c r="Q5" s="12" t="n">
        <v>45692</v>
      </c>
    </row>
    <row r="6" customFormat="false" ht="15" hidden="true" customHeight="false" outlineLevel="0" collapsed="false">
      <c r="A6" s="23" t="n">
        <v>2</v>
      </c>
      <c r="B6" s="10" t="n">
        <v>489970</v>
      </c>
      <c r="C6" s="11" t="s">
        <v>128</v>
      </c>
      <c r="D6" s="12" t="n">
        <v>34219</v>
      </c>
      <c r="E6" s="11" t="s">
        <v>129</v>
      </c>
      <c r="F6" s="11" t="s">
        <v>19</v>
      </c>
      <c r="G6" s="11" t="s">
        <v>130</v>
      </c>
      <c r="H6" s="11" t="s">
        <v>131</v>
      </c>
      <c r="I6" s="11" t="n">
        <v>606416</v>
      </c>
      <c r="J6" s="11" t="n">
        <v>4395</v>
      </c>
      <c r="K6" s="11" t="s">
        <v>22</v>
      </c>
      <c r="L6" s="11" t="s">
        <v>127</v>
      </c>
      <c r="M6" s="24" t="n">
        <v>45686</v>
      </c>
      <c r="N6" s="25" t="n">
        <f aca="false">INT((M6-D6)/365.25)</f>
        <v>31</v>
      </c>
      <c r="O6" s="12" t="s">
        <v>22</v>
      </c>
      <c r="P6" s="12" t="s">
        <v>22</v>
      </c>
      <c r="Q6" s="12" t="n">
        <v>45692</v>
      </c>
    </row>
    <row r="7" customFormat="false" ht="15" hidden="true" customHeight="false" outlineLevel="0" collapsed="false">
      <c r="A7" s="23" t="n">
        <v>3</v>
      </c>
      <c r="B7" s="11" t="n">
        <v>516280</v>
      </c>
      <c r="C7" s="11" t="s">
        <v>132</v>
      </c>
      <c r="D7" s="12" t="n">
        <v>29869</v>
      </c>
      <c r="E7" s="11" t="s">
        <v>133</v>
      </c>
      <c r="F7" s="11" t="s">
        <v>19</v>
      </c>
      <c r="G7" s="11" t="s">
        <v>134</v>
      </c>
      <c r="H7" s="11" t="s">
        <v>135</v>
      </c>
      <c r="I7" s="11" t="n">
        <v>44440</v>
      </c>
      <c r="J7" s="11" t="n">
        <v>54</v>
      </c>
      <c r="K7" s="11" t="s">
        <v>30</v>
      </c>
      <c r="L7" s="11" t="s">
        <v>127</v>
      </c>
      <c r="M7" s="24" t="n">
        <v>45686</v>
      </c>
      <c r="N7" s="25" t="n">
        <f aca="false">INT((M7-D7)/365.25)</f>
        <v>43</v>
      </c>
      <c r="O7" s="12" t="s">
        <v>22</v>
      </c>
      <c r="P7" s="12" t="s">
        <v>22</v>
      </c>
      <c r="Q7" s="12" t="n">
        <v>45692</v>
      </c>
    </row>
    <row r="8" customFormat="false" ht="15" hidden="true" customHeight="false" outlineLevel="0" collapsed="false">
      <c r="A8" s="23" t="n">
        <v>4</v>
      </c>
      <c r="B8" s="11" t="n">
        <v>851657</v>
      </c>
      <c r="C8" s="11" t="s">
        <v>136</v>
      </c>
      <c r="D8" s="12" t="n">
        <v>37434</v>
      </c>
      <c r="E8" s="11" t="s">
        <v>137</v>
      </c>
      <c r="F8" s="11" t="s">
        <v>138</v>
      </c>
      <c r="G8" s="11" t="s">
        <v>139</v>
      </c>
      <c r="H8" s="11" t="s">
        <v>140</v>
      </c>
      <c r="I8" s="11" t="n">
        <v>1195331</v>
      </c>
      <c r="J8" s="11" t="n">
        <v>2586</v>
      </c>
      <c r="K8" s="11" t="s">
        <v>22</v>
      </c>
      <c r="L8" s="11" t="s">
        <v>141</v>
      </c>
      <c r="M8" s="24" t="n">
        <v>45692</v>
      </c>
      <c r="N8" s="25" t="n">
        <f aca="false">INT((M8-D8)/365.25)</f>
        <v>22</v>
      </c>
      <c r="O8" s="12" t="s">
        <v>22</v>
      </c>
      <c r="P8" s="12" t="s">
        <v>22</v>
      </c>
      <c r="Q8" s="12" t="n">
        <v>45700</v>
      </c>
    </row>
    <row r="9" customFormat="false" ht="15" hidden="true" customHeight="false" outlineLevel="0" collapsed="false">
      <c r="A9" s="23" t="n">
        <v>5</v>
      </c>
      <c r="B9" s="11" t="n">
        <v>865883</v>
      </c>
      <c r="C9" s="11" t="s">
        <v>142</v>
      </c>
      <c r="D9" s="12" t="n">
        <v>38099</v>
      </c>
      <c r="E9" s="11" t="s">
        <v>137</v>
      </c>
      <c r="F9" s="11" t="s">
        <v>138</v>
      </c>
      <c r="G9" s="11" t="s">
        <v>143</v>
      </c>
      <c r="H9" s="11" t="s">
        <v>144</v>
      </c>
      <c r="I9" s="11" t="n">
        <v>1263329</v>
      </c>
      <c r="J9" s="11" t="n">
        <v>4545</v>
      </c>
      <c r="K9" s="11" t="s">
        <v>22</v>
      </c>
      <c r="L9" s="11" t="s">
        <v>141</v>
      </c>
      <c r="M9" s="24" t="n">
        <v>45692</v>
      </c>
      <c r="N9" s="25" t="n">
        <f aca="false">INT((M9-D9)/365.25)</f>
        <v>20</v>
      </c>
      <c r="O9" s="12" t="s">
        <v>30</v>
      </c>
      <c r="P9" s="12" t="s">
        <v>22</v>
      </c>
      <c r="Q9" s="12" t="n">
        <v>45700</v>
      </c>
    </row>
    <row r="10" customFormat="false" ht="15" hidden="true" customHeight="false" outlineLevel="0" collapsed="false">
      <c r="A10" s="23" t="n">
        <v>6</v>
      </c>
      <c r="B10" s="11" t="n">
        <v>866123</v>
      </c>
      <c r="C10" s="17" t="s">
        <v>145</v>
      </c>
      <c r="D10" s="12" t="n">
        <v>33930</v>
      </c>
      <c r="E10" s="11" t="s">
        <v>146</v>
      </c>
      <c r="F10" s="11" t="s">
        <v>138</v>
      </c>
      <c r="G10" s="11" t="s">
        <v>147</v>
      </c>
      <c r="H10" s="11" t="s">
        <v>148</v>
      </c>
      <c r="I10" s="11" t="n">
        <v>635151</v>
      </c>
      <c r="J10" s="11" t="n">
        <v>3596</v>
      </c>
      <c r="K10" s="11" t="s">
        <v>22</v>
      </c>
      <c r="L10" s="11" t="s">
        <v>141</v>
      </c>
      <c r="M10" s="24" t="n">
        <v>45699</v>
      </c>
      <c r="N10" s="25" t="n">
        <f aca="false">INT((M10-D10)/365.25)</f>
        <v>32</v>
      </c>
      <c r="O10" s="12" t="s">
        <v>30</v>
      </c>
      <c r="P10" s="12" t="s">
        <v>22</v>
      </c>
      <c r="Q10" s="12" t="n">
        <v>45700</v>
      </c>
    </row>
    <row r="11" customFormat="false" ht="15" hidden="false" customHeight="false" outlineLevel="0" collapsed="false">
      <c r="A11" s="23" t="n">
        <v>1</v>
      </c>
      <c r="B11" s="11" t="n">
        <v>865879</v>
      </c>
      <c r="C11" s="11" t="s">
        <v>149</v>
      </c>
      <c r="D11" s="12" t="n">
        <v>35443</v>
      </c>
      <c r="E11" s="11" t="s">
        <v>150</v>
      </c>
      <c r="F11" s="11" t="s">
        <v>151</v>
      </c>
      <c r="G11" s="11" t="s">
        <v>152</v>
      </c>
      <c r="H11" s="11" t="n">
        <v>8578310</v>
      </c>
      <c r="I11" s="11" t="n">
        <v>8581</v>
      </c>
      <c r="J11" s="11" t="n">
        <v>50</v>
      </c>
      <c r="K11" s="11" t="s">
        <v>22</v>
      </c>
      <c r="L11" s="11" t="s">
        <v>153</v>
      </c>
      <c r="M11" s="24" t="n">
        <v>45728</v>
      </c>
      <c r="N11" s="25" t="n">
        <f aca="false">INT((M11-D11)/365.25)</f>
        <v>28</v>
      </c>
      <c r="O11" s="12" t="s">
        <v>22</v>
      </c>
      <c r="P11" s="12" t="s">
        <v>22</v>
      </c>
      <c r="Q11" s="12"/>
    </row>
    <row r="12" customFormat="false" ht="15" hidden="false" customHeight="false" outlineLevel="0" collapsed="false">
      <c r="A12" s="23" t="n">
        <v>2</v>
      </c>
      <c r="B12" s="11" t="n">
        <v>865881</v>
      </c>
      <c r="C12" s="11" t="s">
        <v>154</v>
      </c>
      <c r="D12" s="12" t="n">
        <v>34822</v>
      </c>
      <c r="E12" s="11" t="s">
        <v>150</v>
      </c>
      <c r="F12" s="11" t="s">
        <v>151</v>
      </c>
      <c r="G12" s="11" t="s">
        <v>155</v>
      </c>
      <c r="H12" s="11" t="n">
        <v>8301881</v>
      </c>
      <c r="I12" s="11" t="n">
        <v>1214940</v>
      </c>
      <c r="J12" s="11" t="n">
        <v>6411</v>
      </c>
      <c r="K12" s="11" t="s">
        <v>30</v>
      </c>
      <c r="L12" s="11" t="s">
        <v>153</v>
      </c>
      <c r="M12" s="24" t="n">
        <v>45728</v>
      </c>
      <c r="N12" s="25" t="n">
        <f aca="false">INT((M12-D12)/365.25)</f>
        <v>29</v>
      </c>
      <c r="O12" s="12" t="s">
        <v>30</v>
      </c>
      <c r="P12" s="12" t="s">
        <v>22</v>
      </c>
      <c r="Q12" s="12"/>
    </row>
    <row r="13" customFormat="false" ht="15" hidden="false" customHeight="false" outlineLevel="0" collapsed="false">
      <c r="A13" s="23" t="n">
        <v>3</v>
      </c>
      <c r="B13" s="11" t="n">
        <v>866237</v>
      </c>
      <c r="C13" s="11" t="s">
        <v>156</v>
      </c>
      <c r="D13" s="12" t="n">
        <v>32866</v>
      </c>
      <c r="E13" s="11" t="s">
        <v>150</v>
      </c>
      <c r="F13" s="11" t="s">
        <v>151</v>
      </c>
      <c r="G13" s="11" t="s">
        <v>157</v>
      </c>
      <c r="H13" s="11" t="n">
        <v>8347155</v>
      </c>
      <c r="I13" s="11" t="n">
        <v>49449</v>
      </c>
      <c r="J13" s="11" t="n">
        <v>87</v>
      </c>
      <c r="K13" s="11" t="s">
        <v>22</v>
      </c>
      <c r="L13" s="11" t="s">
        <v>153</v>
      </c>
      <c r="M13" s="24" t="n">
        <v>45728</v>
      </c>
      <c r="N13" s="25" t="n">
        <f aca="false">INT((M13-D13)/365.25)</f>
        <v>35</v>
      </c>
      <c r="O13" s="12" t="s">
        <v>30</v>
      </c>
      <c r="P13" s="12" t="s">
        <v>22</v>
      </c>
      <c r="Q13" s="12"/>
    </row>
    <row r="14" customFormat="false" ht="15" hidden="false" customHeight="false" outlineLevel="0" collapsed="false">
      <c r="A14" s="23" t="n">
        <v>4</v>
      </c>
      <c r="B14" s="11" t="n">
        <v>577480</v>
      </c>
      <c r="C14" s="11" t="s">
        <v>158</v>
      </c>
      <c r="D14" s="12" t="n">
        <v>35190</v>
      </c>
      <c r="E14" s="11" t="s">
        <v>159</v>
      </c>
      <c r="F14" s="11" t="s">
        <v>160</v>
      </c>
      <c r="G14" s="11" t="s">
        <v>161</v>
      </c>
      <c r="H14" s="11" t="s">
        <v>162</v>
      </c>
      <c r="I14" s="11" t="n">
        <v>1184813</v>
      </c>
      <c r="J14" s="11" t="n">
        <v>2484</v>
      </c>
      <c r="K14" s="11" t="s">
        <v>22</v>
      </c>
      <c r="L14" s="11" t="s">
        <v>153</v>
      </c>
      <c r="M14" s="24" t="n">
        <v>45728</v>
      </c>
      <c r="N14" s="25" t="n">
        <f aca="false">INT((M14-D14)/365.25)</f>
        <v>28</v>
      </c>
      <c r="O14" s="12" t="s">
        <v>30</v>
      </c>
      <c r="P14" s="12" t="s">
        <v>22</v>
      </c>
      <c r="Q14" s="12"/>
    </row>
    <row r="15" customFormat="false" ht="15" hidden="false" customHeight="false" outlineLevel="0" collapsed="false">
      <c r="A15" s="23" t="n">
        <v>5</v>
      </c>
      <c r="B15" s="11" t="n">
        <v>831475</v>
      </c>
      <c r="C15" s="11" t="s">
        <v>163</v>
      </c>
      <c r="D15" s="12" t="n">
        <v>33543</v>
      </c>
      <c r="E15" s="11" t="s">
        <v>164</v>
      </c>
      <c r="F15" s="11" t="s">
        <v>165</v>
      </c>
      <c r="G15" s="11" t="s">
        <v>166</v>
      </c>
      <c r="H15" s="11" t="n">
        <v>6578996</v>
      </c>
      <c r="I15" s="11" t="n">
        <v>74501</v>
      </c>
      <c r="J15" s="11" t="n">
        <v>73</v>
      </c>
      <c r="K15" s="11" t="s">
        <v>22</v>
      </c>
      <c r="L15" s="11" t="s">
        <v>153</v>
      </c>
      <c r="M15" s="24" t="n">
        <v>45728</v>
      </c>
      <c r="N15" s="25" t="n">
        <f aca="false">INT((M15-D15)/365.25)</f>
        <v>33</v>
      </c>
      <c r="O15" s="12"/>
      <c r="P15" s="12" t="s">
        <v>22</v>
      </c>
      <c r="Q15" s="12"/>
    </row>
    <row r="16" customFormat="false" ht="15" hidden="false" customHeight="false" outlineLevel="0" collapsed="false">
      <c r="C16" s="16"/>
    </row>
  </sheetData>
  <mergeCells count="1">
    <mergeCell ref="A1:Q2"/>
  </mergeCells>
  <conditionalFormatting sqref="N5:N15">
    <cfRule type="colorScale" priority="2">
      <colorScale>
        <cfvo type="num" val="17"/>
        <cfvo type="num" val="18"/>
        <color rgb="FFFF0000"/>
        <color rgb="FF92D050"/>
      </colorScale>
    </cfRule>
  </conditionalFormatting>
  <conditionalFormatting sqref="H21">
    <cfRule type="iconSet" priority="3">
      <iconSet iconSet="3TrafficLights1">
        <cfvo type="percent" val="0"/>
        <cfvo type="percent" val="33"/>
        <cfvo type="percent" val="67"/>
      </iconSet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36" activeCellId="0" sqref="M36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7.43"/>
    <col collapsed="false" customWidth="true" hidden="false" outlineLevel="0" max="3" min="3" style="0" width="34"/>
    <col collapsed="false" customWidth="true" hidden="false" outlineLevel="0" max="4" min="4" style="0" width="9.43"/>
    <col collapsed="false" customWidth="true" hidden="false" outlineLevel="0" max="5" min="5" style="0" width="15.43"/>
    <col collapsed="false" customWidth="true" hidden="false" outlineLevel="0" max="6" min="6" style="0" width="7.15"/>
    <col collapsed="false" customWidth="true" hidden="false" outlineLevel="0" max="7" min="7" style="0" width="11.86"/>
    <col collapsed="false" customWidth="true" hidden="false" outlineLevel="0" max="8" min="8" style="0" width="11"/>
    <col collapsed="false" customWidth="true" hidden="false" outlineLevel="0" max="9" min="9" style="0" width="8.29"/>
    <col collapsed="false" customWidth="true" hidden="false" outlineLevel="0" max="10" min="10" style="0" width="5.71"/>
    <col collapsed="false" customWidth="true" hidden="false" outlineLevel="0" max="11" min="11" style="0" width="7"/>
    <col collapsed="false" customWidth="true" hidden="false" outlineLevel="0" max="12" min="12" style="0" width="20.29"/>
    <col collapsed="false" customWidth="true" hidden="false" outlineLevel="0" max="13" min="13" style="0" width="9.29"/>
    <col collapsed="false" customWidth="true" hidden="false" outlineLevel="0" max="14" min="14" style="0" width="5.57"/>
    <col collapsed="false" customWidth="true" hidden="true" outlineLevel="0" max="15" min="15" style="0" width="7.86"/>
    <col collapsed="false" customWidth="true" hidden="true" outlineLevel="0" max="16" min="16" style="0" width="6.86"/>
    <col collapsed="false" customWidth="true" hidden="false" outlineLevel="0" max="17" min="17" style="0" width="11.86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15" hidden="false" customHeight="false" outlineLevel="0" collapsed="false">
      <c r="A3" s="19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20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16</v>
      </c>
      <c r="Q3" s="6" t="s">
        <v>167</v>
      </c>
    </row>
    <row r="4" customFormat="false" ht="15" hidden="false" customHeight="false" outlineLevel="0" collapsed="false">
      <c r="A4" s="21"/>
      <c r="B4" s="2"/>
      <c r="C4" s="6" t="s">
        <v>168</v>
      </c>
      <c r="D4" s="7"/>
      <c r="E4" s="2"/>
      <c r="F4" s="2"/>
      <c r="G4" s="2"/>
      <c r="H4" s="2"/>
      <c r="I4" s="2"/>
      <c r="J4" s="2"/>
      <c r="K4" s="2"/>
      <c r="L4" s="8"/>
      <c r="M4" s="22"/>
      <c r="N4" s="6"/>
      <c r="O4" s="6"/>
      <c r="P4" s="6"/>
      <c r="Q4" s="6"/>
    </row>
    <row r="5" customFormat="false" ht="15" hidden="false" customHeight="false" outlineLevel="0" collapsed="false">
      <c r="A5" s="23" t="n">
        <v>1</v>
      </c>
      <c r="B5" s="10" t="n">
        <v>866322</v>
      </c>
      <c r="C5" s="17" t="s">
        <v>169</v>
      </c>
      <c r="D5" s="12" t="n">
        <v>38945</v>
      </c>
      <c r="E5" s="11" t="s">
        <v>170</v>
      </c>
      <c r="F5" s="11" t="s">
        <v>151</v>
      </c>
      <c r="G5" s="11" t="s">
        <v>171</v>
      </c>
      <c r="H5" s="11" t="n">
        <v>11864594</v>
      </c>
      <c r="I5" s="11" t="n">
        <v>1479422</v>
      </c>
      <c r="J5" s="11" t="n">
        <v>2408</v>
      </c>
      <c r="K5" s="11" t="s">
        <v>22</v>
      </c>
      <c r="L5" s="11" t="s">
        <v>172</v>
      </c>
      <c r="M5" s="24" t="n">
        <v>45705</v>
      </c>
      <c r="N5" s="25" t="n">
        <f aca="false">INT((M5-D5)/365.25)</f>
        <v>18</v>
      </c>
      <c r="O5" s="12" t="s">
        <v>22</v>
      </c>
      <c r="P5" s="12" t="s">
        <v>22</v>
      </c>
      <c r="Q5" s="26" t="s">
        <v>173</v>
      </c>
    </row>
    <row r="6" customFormat="false" ht="15" hidden="false" customHeight="false" outlineLevel="0" collapsed="false">
      <c r="A6" s="23" t="n">
        <v>2</v>
      </c>
      <c r="B6" s="10" t="n">
        <v>866128</v>
      </c>
      <c r="C6" s="17" t="s">
        <v>174</v>
      </c>
      <c r="D6" s="12" t="n">
        <v>37190</v>
      </c>
      <c r="E6" s="11" t="s">
        <v>170</v>
      </c>
      <c r="F6" s="11" t="s">
        <v>151</v>
      </c>
      <c r="G6" s="11" t="s">
        <v>175</v>
      </c>
      <c r="H6" s="11" t="n">
        <v>12326683</v>
      </c>
      <c r="I6" s="11" t="n">
        <v>1226931</v>
      </c>
      <c r="J6" s="11" t="n">
        <v>1469</v>
      </c>
      <c r="K6" s="11" t="s">
        <v>22</v>
      </c>
      <c r="L6" s="11" t="s">
        <v>172</v>
      </c>
      <c r="M6" s="24" t="n">
        <v>45705</v>
      </c>
      <c r="N6" s="25" t="n">
        <f aca="false">INT((M6-D6)/365.25)</f>
        <v>23</v>
      </c>
      <c r="O6" s="12" t="s">
        <v>22</v>
      </c>
      <c r="P6" s="12" t="s">
        <v>22</v>
      </c>
      <c r="Q6" s="26" t="s">
        <v>176</v>
      </c>
    </row>
    <row r="7" customFormat="false" ht="15" hidden="false" customHeight="false" outlineLevel="0" collapsed="false">
      <c r="A7" s="23" t="n">
        <v>3</v>
      </c>
      <c r="B7" s="10" t="n">
        <v>866129</v>
      </c>
      <c r="C7" s="17" t="s">
        <v>177</v>
      </c>
      <c r="D7" s="12" t="n">
        <v>37026</v>
      </c>
      <c r="E7" s="11" t="s">
        <v>170</v>
      </c>
      <c r="F7" s="11" t="s">
        <v>151</v>
      </c>
      <c r="G7" s="11" t="s">
        <v>178</v>
      </c>
      <c r="H7" s="11" t="n">
        <v>10877547</v>
      </c>
      <c r="I7" s="11" t="n">
        <v>2061180</v>
      </c>
      <c r="J7" s="11" t="n">
        <v>60</v>
      </c>
      <c r="K7" s="11" t="s">
        <v>22</v>
      </c>
      <c r="L7" s="11" t="s">
        <v>172</v>
      </c>
      <c r="M7" s="24" t="n">
        <v>45705</v>
      </c>
      <c r="N7" s="25" t="n">
        <f aca="false">INT((M7-D7)/365.25)</f>
        <v>23</v>
      </c>
      <c r="O7" s="12" t="s">
        <v>22</v>
      </c>
      <c r="P7" s="12" t="s">
        <v>22</v>
      </c>
      <c r="Q7" s="26" t="s">
        <v>179</v>
      </c>
    </row>
    <row r="8" customFormat="false" ht="15" hidden="false" customHeight="false" outlineLevel="0" collapsed="false">
      <c r="A8" s="23" t="n">
        <v>4</v>
      </c>
      <c r="B8" s="11" t="n">
        <v>866131</v>
      </c>
      <c r="C8" s="11" t="s">
        <v>180</v>
      </c>
      <c r="D8" s="12" t="n">
        <v>37574</v>
      </c>
      <c r="E8" s="11" t="s">
        <v>170</v>
      </c>
      <c r="F8" s="11" t="s">
        <v>151</v>
      </c>
      <c r="G8" s="11" t="s">
        <v>181</v>
      </c>
      <c r="H8" s="15" t="n">
        <v>11611920</v>
      </c>
      <c r="I8" s="11" t="n">
        <v>1176944</v>
      </c>
      <c r="J8" s="11" t="n">
        <v>3479</v>
      </c>
      <c r="K8" s="11" t="s">
        <v>22</v>
      </c>
      <c r="L8" s="11" t="s">
        <v>172</v>
      </c>
      <c r="M8" s="24" t="n">
        <v>45705</v>
      </c>
      <c r="N8" s="25" t="n">
        <f aca="false">INT((M8-D8)/365.25)</f>
        <v>22</v>
      </c>
      <c r="O8" s="12" t="s">
        <v>22</v>
      </c>
      <c r="P8" s="12" t="s">
        <v>22</v>
      </c>
      <c r="Q8" s="26" t="s">
        <v>182</v>
      </c>
    </row>
    <row r="9" customFormat="false" ht="15" hidden="false" customHeight="false" outlineLevel="0" collapsed="false">
      <c r="A9" s="23" t="n">
        <v>5</v>
      </c>
      <c r="B9" s="11" t="n">
        <v>866154</v>
      </c>
      <c r="C9" s="11" t="s">
        <v>183</v>
      </c>
      <c r="D9" s="12" t="n">
        <v>36068</v>
      </c>
      <c r="E9" s="11" t="s">
        <v>170</v>
      </c>
      <c r="F9" s="11" t="s">
        <v>151</v>
      </c>
      <c r="G9" s="11" t="s">
        <v>184</v>
      </c>
      <c r="H9" s="11" t="n">
        <v>11485167</v>
      </c>
      <c r="I9" s="11" t="n">
        <v>1239035</v>
      </c>
      <c r="J9" s="11" t="n">
        <v>3495</v>
      </c>
      <c r="K9" s="11" t="s">
        <v>22</v>
      </c>
      <c r="L9" s="11" t="s">
        <v>172</v>
      </c>
      <c r="M9" s="24" t="n">
        <v>45705</v>
      </c>
      <c r="N9" s="25" t="n">
        <f aca="false">INT((M9-D9)/365.25)</f>
        <v>26</v>
      </c>
      <c r="O9" s="12" t="s">
        <v>22</v>
      </c>
      <c r="P9" s="12" t="s">
        <v>22</v>
      </c>
      <c r="Q9" s="26" t="s">
        <v>185</v>
      </c>
    </row>
    <row r="10" customFormat="false" ht="15" hidden="false" customHeight="false" outlineLevel="0" collapsed="false">
      <c r="A10" s="23" t="n">
        <v>6</v>
      </c>
      <c r="B10" s="11" t="n">
        <v>866157</v>
      </c>
      <c r="C10" s="11" t="s">
        <v>186</v>
      </c>
      <c r="D10" s="12" t="n">
        <v>38736</v>
      </c>
      <c r="E10" s="11" t="s">
        <v>170</v>
      </c>
      <c r="F10" s="11" t="s">
        <v>151</v>
      </c>
      <c r="G10" s="11" t="s">
        <v>187</v>
      </c>
      <c r="H10" s="11" t="n">
        <v>11964418</v>
      </c>
      <c r="I10" s="11" t="n">
        <v>1505419</v>
      </c>
      <c r="J10" s="11" t="n">
        <v>2476</v>
      </c>
      <c r="K10" s="11" t="s">
        <v>22</v>
      </c>
      <c r="L10" s="11" t="s">
        <v>172</v>
      </c>
      <c r="M10" s="24" t="n">
        <v>45705</v>
      </c>
      <c r="N10" s="25" t="n">
        <f aca="false">INT((M10-D10)/365.25)</f>
        <v>19</v>
      </c>
      <c r="O10" s="12" t="s">
        <v>22</v>
      </c>
      <c r="P10" s="12" t="s">
        <v>22</v>
      </c>
      <c r="Q10" s="26" t="s">
        <v>188</v>
      </c>
    </row>
    <row r="11" customFormat="false" ht="15" hidden="false" customHeight="false" outlineLevel="0" collapsed="false">
      <c r="A11" s="23" t="n">
        <v>7</v>
      </c>
      <c r="B11" s="11" t="n">
        <v>855217</v>
      </c>
      <c r="C11" s="11" t="s">
        <v>189</v>
      </c>
      <c r="D11" s="12" t="n">
        <v>35134</v>
      </c>
      <c r="E11" s="11" t="s">
        <v>170</v>
      </c>
      <c r="F11" s="11" t="s">
        <v>151</v>
      </c>
      <c r="G11" s="11" t="s">
        <v>190</v>
      </c>
      <c r="H11" s="11" t="s">
        <v>191</v>
      </c>
      <c r="I11" s="11" t="n">
        <v>1261202</v>
      </c>
      <c r="J11" s="11" t="n">
        <v>6436</v>
      </c>
      <c r="K11" s="11" t="s">
        <v>22</v>
      </c>
      <c r="L11" s="11" t="s">
        <v>172</v>
      </c>
      <c r="M11" s="24" t="n">
        <v>45705</v>
      </c>
      <c r="N11" s="25" t="n">
        <f aca="false">INT((M11-D11)/365.25)</f>
        <v>28</v>
      </c>
      <c r="O11" s="12" t="s">
        <v>22</v>
      </c>
      <c r="P11" s="12" t="s">
        <v>22</v>
      </c>
      <c r="Q11" s="26" t="s">
        <v>192</v>
      </c>
    </row>
    <row r="12" customFormat="false" ht="15" hidden="false" customHeight="false" outlineLevel="0" collapsed="false">
      <c r="A12" s="23" t="n">
        <v>8</v>
      </c>
      <c r="B12" s="11" t="n">
        <v>866160</v>
      </c>
      <c r="C12" s="11" t="s">
        <v>193</v>
      </c>
      <c r="D12" s="12" t="n">
        <v>36709</v>
      </c>
      <c r="E12" s="11" t="s">
        <v>170</v>
      </c>
      <c r="F12" s="11" t="s">
        <v>151</v>
      </c>
      <c r="G12" s="11" t="s">
        <v>194</v>
      </c>
      <c r="H12" s="11" t="n">
        <v>11077546</v>
      </c>
      <c r="I12" s="11" t="n">
        <v>12327</v>
      </c>
      <c r="J12" s="11" t="n">
        <v>113</v>
      </c>
      <c r="K12" s="11" t="s">
        <v>22</v>
      </c>
      <c r="L12" s="11" t="s">
        <v>172</v>
      </c>
      <c r="M12" s="24" t="n">
        <v>45705</v>
      </c>
      <c r="N12" s="25" t="n">
        <f aca="false">INT((M12-D12)/365.25)</f>
        <v>24</v>
      </c>
      <c r="O12" s="12" t="s">
        <v>22</v>
      </c>
      <c r="P12" s="12" t="s">
        <v>22</v>
      </c>
      <c r="Q12" s="26" t="s">
        <v>195</v>
      </c>
    </row>
    <row r="13" customFormat="false" ht="15" hidden="false" customHeight="false" outlineLevel="0" collapsed="false">
      <c r="A13" s="23" t="n">
        <v>9</v>
      </c>
      <c r="B13" s="11" t="n">
        <v>866162</v>
      </c>
      <c r="C13" s="11" t="s">
        <v>196</v>
      </c>
      <c r="D13" s="12" t="n">
        <v>29931</v>
      </c>
      <c r="E13" s="11" t="s">
        <v>170</v>
      </c>
      <c r="F13" s="11" t="s">
        <v>151</v>
      </c>
      <c r="G13" s="11" t="s">
        <v>197</v>
      </c>
      <c r="H13" s="11" t="n">
        <v>7895242</v>
      </c>
      <c r="I13" s="11" t="n">
        <v>64961</v>
      </c>
      <c r="J13" s="11" t="n">
        <v>40</v>
      </c>
      <c r="K13" s="11" t="s">
        <v>22</v>
      </c>
      <c r="L13" s="11" t="s">
        <v>172</v>
      </c>
      <c r="M13" s="24" t="n">
        <v>45705</v>
      </c>
      <c r="N13" s="25" t="n">
        <f aca="false">INT((M13-D13)/365.25)</f>
        <v>43</v>
      </c>
      <c r="O13" s="12" t="s">
        <v>22</v>
      </c>
      <c r="P13" s="12" t="s">
        <v>22</v>
      </c>
      <c r="Q13" s="26" t="s">
        <v>198</v>
      </c>
    </row>
    <row r="14" customFormat="false" ht="15" hidden="false" customHeight="false" outlineLevel="0" collapsed="false">
      <c r="A14" s="23" t="n">
        <v>10</v>
      </c>
      <c r="B14" s="11" t="n">
        <v>855196</v>
      </c>
      <c r="C14" s="11" t="s">
        <v>199</v>
      </c>
      <c r="D14" s="12" t="n">
        <v>37697</v>
      </c>
      <c r="E14" s="11" t="s">
        <v>170</v>
      </c>
      <c r="F14" s="11" t="s">
        <v>151</v>
      </c>
      <c r="G14" s="11" t="s">
        <v>200</v>
      </c>
      <c r="H14" s="11" t="n">
        <v>11482828</v>
      </c>
      <c r="I14" s="11" t="n">
        <v>1298050</v>
      </c>
      <c r="J14" s="11" t="n">
        <v>8470</v>
      </c>
      <c r="K14" s="11" t="s">
        <v>22</v>
      </c>
      <c r="L14" s="11" t="s">
        <v>172</v>
      </c>
      <c r="M14" s="24" t="n">
        <v>45705</v>
      </c>
      <c r="N14" s="25" t="n">
        <f aca="false">INT((M14-D14)/365.25)</f>
        <v>21</v>
      </c>
      <c r="O14" s="12" t="s">
        <v>22</v>
      </c>
      <c r="P14" s="12" t="s">
        <v>22</v>
      </c>
      <c r="Q14" s="26" t="s">
        <v>201</v>
      </c>
    </row>
    <row r="15" customFormat="false" ht="15" hidden="false" customHeight="false" outlineLevel="0" collapsed="false">
      <c r="A15" s="23" t="n">
        <v>11</v>
      </c>
      <c r="B15" s="11" t="n">
        <v>866166</v>
      </c>
      <c r="C15" s="11" t="s">
        <v>202</v>
      </c>
      <c r="D15" s="12" t="n">
        <v>32518</v>
      </c>
      <c r="E15" s="11" t="s">
        <v>170</v>
      </c>
      <c r="F15" s="11" t="s">
        <v>151</v>
      </c>
      <c r="G15" s="11" t="s">
        <v>203</v>
      </c>
      <c r="H15" s="11" t="s">
        <v>204</v>
      </c>
      <c r="I15" s="11" t="n">
        <v>83147</v>
      </c>
      <c r="J15" s="11" t="n">
        <v>25</v>
      </c>
      <c r="K15" s="11" t="s">
        <v>22</v>
      </c>
      <c r="L15" s="11" t="s">
        <v>172</v>
      </c>
      <c r="M15" s="24" t="n">
        <v>45705</v>
      </c>
      <c r="N15" s="25" t="n">
        <f aca="false">INT((M15-D15)/365.25)</f>
        <v>36</v>
      </c>
      <c r="O15" s="12" t="s">
        <v>22</v>
      </c>
      <c r="P15" s="12" t="s">
        <v>22</v>
      </c>
      <c r="Q15" s="26" t="s">
        <v>205</v>
      </c>
    </row>
    <row r="16" customFormat="false" ht="15" hidden="false" customHeight="false" outlineLevel="0" collapsed="false">
      <c r="A16" s="23" t="n">
        <v>12</v>
      </c>
      <c r="B16" s="11" t="n">
        <v>866167</v>
      </c>
      <c r="C16" s="11" t="s">
        <v>206</v>
      </c>
      <c r="D16" s="12" t="n">
        <v>30822</v>
      </c>
      <c r="E16" s="11" t="s">
        <v>170</v>
      </c>
      <c r="F16" s="11" t="s">
        <v>151</v>
      </c>
      <c r="G16" s="11" t="s">
        <v>207</v>
      </c>
      <c r="H16" s="11" t="n">
        <v>45225654</v>
      </c>
      <c r="I16" s="11" t="n">
        <v>1757370</v>
      </c>
      <c r="J16" s="11" t="n">
        <v>9439</v>
      </c>
      <c r="K16" s="11" t="s">
        <v>22</v>
      </c>
      <c r="L16" s="11" t="s">
        <v>172</v>
      </c>
      <c r="M16" s="24" t="n">
        <v>45705</v>
      </c>
      <c r="N16" s="25" t="n">
        <f aca="false">INT((M16-D16)/365.25)</f>
        <v>40</v>
      </c>
      <c r="O16" s="12" t="s">
        <v>22</v>
      </c>
      <c r="P16" s="12" t="s">
        <v>22</v>
      </c>
      <c r="Q16" s="26" t="s">
        <v>208</v>
      </c>
    </row>
    <row r="17" customFormat="false" ht="15" hidden="false" customHeight="false" outlineLevel="0" collapsed="false">
      <c r="A17" s="23" t="n">
        <v>13</v>
      </c>
      <c r="B17" s="11" t="n">
        <v>456280</v>
      </c>
      <c r="C17" s="11" t="s">
        <v>209</v>
      </c>
      <c r="D17" s="12" t="n">
        <v>33809</v>
      </c>
      <c r="E17" s="11" t="s">
        <v>170</v>
      </c>
      <c r="F17" s="11" t="s">
        <v>151</v>
      </c>
      <c r="G17" s="11" t="s">
        <v>210</v>
      </c>
      <c r="H17" s="11" t="n">
        <v>8441322</v>
      </c>
      <c r="I17" s="11" t="n">
        <v>926505</v>
      </c>
      <c r="J17" s="11" t="n">
        <v>3437</v>
      </c>
      <c r="K17" s="11" t="s">
        <v>22</v>
      </c>
      <c r="L17" s="11" t="s">
        <v>172</v>
      </c>
      <c r="M17" s="24" t="n">
        <v>45705</v>
      </c>
      <c r="N17" s="25" t="n">
        <f aca="false">INT((M17-D17)/365.25)</f>
        <v>32</v>
      </c>
      <c r="O17" s="12" t="s">
        <v>22</v>
      </c>
      <c r="P17" s="12" t="s">
        <v>22</v>
      </c>
      <c r="Q17" s="26" t="s">
        <v>211</v>
      </c>
    </row>
    <row r="18" customFormat="false" ht="15" hidden="false" customHeight="false" outlineLevel="0" collapsed="false">
      <c r="A18" s="23" t="n">
        <v>14</v>
      </c>
      <c r="B18" s="11" t="n">
        <v>866172</v>
      </c>
      <c r="C18" s="11" t="s">
        <v>212</v>
      </c>
      <c r="D18" s="12" t="n">
        <v>38289</v>
      </c>
      <c r="E18" s="11" t="s">
        <v>170</v>
      </c>
      <c r="F18" s="11" t="s">
        <v>151</v>
      </c>
      <c r="G18" s="11" t="s">
        <v>213</v>
      </c>
      <c r="H18" s="11" t="n">
        <v>11948951</v>
      </c>
      <c r="I18" s="11" t="n">
        <v>1584163</v>
      </c>
      <c r="J18" s="11" t="n">
        <v>5425</v>
      </c>
      <c r="K18" s="11" t="s">
        <v>22</v>
      </c>
      <c r="L18" s="11" t="s">
        <v>172</v>
      </c>
      <c r="M18" s="24" t="n">
        <v>45705</v>
      </c>
      <c r="N18" s="25" t="n">
        <f aca="false">INT((M18-D18)/365.25)</f>
        <v>20</v>
      </c>
      <c r="O18" s="12" t="s">
        <v>22</v>
      </c>
      <c r="P18" s="12" t="s">
        <v>22</v>
      </c>
      <c r="Q18" s="26" t="s">
        <v>214</v>
      </c>
    </row>
    <row r="19" customFormat="false" ht="15" hidden="false" customHeight="false" outlineLevel="0" collapsed="false">
      <c r="A19" s="23" t="n">
        <v>15</v>
      </c>
      <c r="B19" s="11" t="n">
        <v>857921</v>
      </c>
      <c r="C19" s="11" t="s">
        <v>215</v>
      </c>
      <c r="D19" s="12" t="n">
        <v>35499</v>
      </c>
      <c r="E19" s="11" t="s">
        <v>170</v>
      </c>
      <c r="F19" s="11" t="s">
        <v>151</v>
      </c>
      <c r="G19" s="11" t="s">
        <v>216</v>
      </c>
      <c r="H19" s="11" t="n">
        <v>10199112</v>
      </c>
      <c r="I19" s="11" t="n">
        <v>42171</v>
      </c>
      <c r="J19" s="11" t="n">
        <v>48</v>
      </c>
      <c r="K19" s="11" t="s">
        <v>22</v>
      </c>
      <c r="L19" s="11" t="s">
        <v>172</v>
      </c>
      <c r="M19" s="24" t="n">
        <v>45705</v>
      </c>
      <c r="N19" s="25" t="n">
        <f aca="false">INT((M19-D19)/365.25)</f>
        <v>27</v>
      </c>
      <c r="O19" s="12" t="s">
        <v>22</v>
      </c>
      <c r="P19" s="12" t="s">
        <v>22</v>
      </c>
      <c r="Q19" s="26" t="s">
        <v>217</v>
      </c>
    </row>
    <row r="20" customFormat="false" ht="15" hidden="false" customHeight="false" outlineLevel="0" collapsed="false">
      <c r="A20" s="23" t="n">
        <v>16</v>
      </c>
      <c r="B20" s="11" t="n">
        <v>736510</v>
      </c>
      <c r="C20" s="11" t="s">
        <v>218</v>
      </c>
      <c r="D20" s="12" t="n">
        <v>36138</v>
      </c>
      <c r="E20" s="11" t="s">
        <v>170</v>
      </c>
      <c r="F20" s="11" t="s">
        <v>151</v>
      </c>
      <c r="G20" s="11" t="s">
        <v>219</v>
      </c>
      <c r="H20" s="11" t="n">
        <v>22183294</v>
      </c>
      <c r="I20" s="11" t="n">
        <v>10721</v>
      </c>
      <c r="J20" s="11" t="n">
        <v>113</v>
      </c>
      <c r="K20" s="11" t="s">
        <v>22</v>
      </c>
      <c r="L20" s="11" t="s">
        <v>172</v>
      </c>
      <c r="M20" s="24" t="n">
        <v>45705</v>
      </c>
      <c r="N20" s="25" t="n">
        <f aca="false">INT((M20-D20)/365.25)</f>
        <v>26</v>
      </c>
      <c r="O20" s="12" t="s">
        <v>22</v>
      </c>
      <c r="P20" s="12" t="s">
        <v>22</v>
      </c>
      <c r="Q20" s="26" t="s">
        <v>220</v>
      </c>
    </row>
    <row r="21" customFormat="false" ht="15" hidden="false" customHeight="false" outlineLevel="0" collapsed="false">
      <c r="A21" s="23" t="n">
        <v>17</v>
      </c>
      <c r="B21" s="11" t="n">
        <v>824544</v>
      </c>
      <c r="C21" s="11" t="s">
        <v>221</v>
      </c>
      <c r="D21" s="12" t="n">
        <v>35649</v>
      </c>
      <c r="E21" s="11" t="s">
        <v>170</v>
      </c>
      <c r="F21" s="11" t="s">
        <v>151</v>
      </c>
      <c r="G21" s="11" t="s">
        <v>222</v>
      </c>
      <c r="H21" s="11" t="n">
        <v>10560970</v>
      </c>
      <c r="I21" s="11" t="n">
        <v>1282331</v>
      </c>
      <c r="J21" s="11" t="n">
        <v>2480</v>
      </c>
      <c r="K21" s="11" t="s">
        <v>22</v>
      </c>
      <c r="L21" s="11" t="s">
        <v>172</v>
      </c>
      <c r="M21" s="24" t="n">
        <v>45705</v>
      </c>
      <c r="N21" s="25" t="n">
        <f aca="false">INT((M21-D21)/365.25)</f>
        <v>27</v>
      </c>
      <c r="O21" s="12" t="s">
        <v>22</v>
      </c>
      <c r="P21" s="12" t="s">
        <v>22</v>
      </c>
      <c r="Q21" s="26" t="s">
        <v>223</v>
      </c>
    </row>
    <row r="22" customFormat="false" ht="15" hidden="false" customHeight="false" outlineLevel="0" collapsed="false">
      <c r="A22" s="23" t="n">
        <v>18</v>
      </c>
      <c r="B22" s="11" t="n">
        <v>866183</v>
      </c>
      <c r="C22" s="11" t="s">
        <v>224</v>
      </c>
      <c r="D22" s="12" t="n">
        <v>37437</v>
      </c>
      <c r="E22" s="11" t="s">
        <v>170</v>
      </c>
      <c r="F22" s="11" t="s">
        <v>151</v>
      </c>
      <c r="G22" s="11" t="s">
        <v>225</v>
      </c>
      <c r="H22" s="11" t="n">
        <v>11865344</v>
      </c>
      <c r="I22" s="11" t="n">
        <v>1564687</v>
      </c>
      <c r="J22" s="11" t="n">
        <v>402</v>
      </c>
      <c r="K22" s="11" t="s">
        <v>22</v>
      </c>
      <c r="L22" s="11" t="s">
        <v>172</v>
      </c>
      <c r="M22" s="24" t="n">
        <v>45705</v>
      </c>
      <c r="N22" s="25" t="n">
        <f aca="false">INT((M22-D22)/365.25)</f>
        <v>22</v>
      </c>
      <c r="O22" s="12" t="s">
        <v>22</v>
      </c>
      <c r="P22" s="12" t="s">
        <v>22</v>
      </c>
      <c r="Q22" s="26" t="s">
        <v>226</v>
      </c>
    </row>
    <row r="23" customFormat="false" ht="15" hidden="false" customHeight="false" outlineLevel="0" collapsed="false">
      <c r="A23" s="23" t="n">
        <v>19</v>
      </c>
      <c r="B23" s="11" t="n">
        <v>864127</v>
      </c>
      <c r="C23" s="11" t="s">
        <v>227</v>
      </c>
      <c r="D23" s="12" t="n">
        <v>36786</v>
      </c>
      <c r="E23" s="11" t="s">
        <v>170</v>
      </c>
      <c r="F23" s="11" t="s">
        <v>151</v>
      </c>
      <c r="G23" s="11" t="s">
        <v>228</v>
      </c>
      <c r="H23" s="11" t="n">
        <v>10418489</v>
      </c>
      <c r="I23" s="11" t="n">
        <v>1449142</v>
      </c>
      <c r="J23" s="11" t="n">
        <v>3466</v>
      </c>
      <c r="K23" s="11" t="s">
        <v>22</v>
      </c>
      <c r="L23" s="11" t="s">
        <v>172</v>
      </c>
      <c r="M23" s="24" t="n">
        <v>45705</v>
      </c>
      <c r="N23" s="25" t="n">
        <f aca="false">INT((M23-D23)/365.25)</f>
        <v>24</v>
      </c>
      <c r="O23" s="12" t="s">
        <v>22</v>
      </c>
      <c r="P23" s="12" t="s">
        <v>22</v>
      </c>
      <c r="Q23" s="26" t="s">
        <v>229</v>
      </c>
    </row>
    <row r="24" customFormat="false" ht="15" hidden="false" customHeight="false" outlineLevel="0" collapsed="false">
      <c r="A24" s="23" t="n">
        <v>20</v>
      </c>
      <c r="B24" s="11" t="n">
        <v>866188</v>
      </c>
      <c r="C24" s="11" t="s">
        <v>230</v>
      </c>
      <c r="D24" s="12" t="n">
        <v>38518</v>
      </c>
      <c r="E24" s="11" t="s">
        <v>170</v>
      </c>
      <c r="F24" s="11" t="s">
        <v>151</v>
      </c>
      <c r="G24" s="11" t="s">
        <v>231</v>
      </c>
      <c r="H24" s="11" t="n">
        <v>12144171</v>
      </c>
      <c r="I24" s="11" t="n">
        <v>1365786</v>
      </c>
      <c r="J24" s="11" t="n">
        <v>2420</v>
      </c>
      <c r="K24" s="11" t="s">
        <v>22</v>
      </c>
      <c r="L24" s="11" t="s">
        <v>172</v>
      </c>
      <c r="M24" s="24" t="n">
        <v>45705</v>
      </c>
      <c r="N24" s="25" t="n">
        <f aca="false">INT((M24-D24)/365.25)</f>
        <v>19</v>
      </c>
      <c r="O24" s="12" t="s">
        <v>22</v>
      </c>
      <c r="P24" s="12" t="s">
        <v>22</v>
      </c>
      <c r="Q24" s="11" t="s">
        <v>232</v>
      </c>
    </row>
    <row r="25" customFormat="false" ht="15" hidden="false" customHeight="false" outlineLevel="0" collapsed="false">
      <c r="A25" s="23" t="n">
        <v>21</v>
      </c>
      <c r="B25" s="11" t="n">
        <v>866323</v>
      </c>
      <c r="C25" s="11" t="s">
        <v>233</v>
      </c>
      <c r="D25" s="12" t="n">
        <v>33040</v>
      </c>
      <c r="E25" s="11" t="s">
        <v>170</v>
      </c>
      <c r="F25" s="11" t="s">
        <v>151</v>
      </c>
      <c r="G25" s="11" t="s">
        <v>234</v>
      </c>
      <c r="H25" s="11" t="n">
        <v>8911211</v>
      </c>
      <c r="I25" s="11" t="n">
        <v>1043631</v>
      </c>
      <c r="J25" s="11" t="n">
        <v>9411</v>
      </c>
      <c r="K25" s="11" t="s">
        <v>22</v>
      </c>
      <c r="L25" s="11" t="s">
        <v>172</v>
      </c>
      <c r="M25" s="24" t="n">
        <v>45705</v>
      </c>
      <c r="N25" s="25" t="n">
        <f aca="false">INT((M25-D25)/365.25)</f>
        <v>34</v>
      </c>
      <c r="O25" s="12" t="s">
        <v>30</v>
      </c>
      <c r="P25" s="12" t="s">
        <v>22</v>
      </c>
      <c r="Q25" s="12" t="s">
        <v>235</v>
      </c>
    </row>
    <row r="26" customFormat="false" ht="15" hidden="false" customHeight="false" outlineLevel="0" collapsed="false">
      <c r="A26" s="23" t="n">
        <v>22</v>
      </c>
      <c r="B26" s="11" t="n">
        <v>866192</v>
      </c>
      <c r="C26" s="11" t="s">
        <v>236</v>
      </c>
      <c r="D26" s="12" t="n">
        <v>38563</v>
      </c>
      <c r="E26" s="11" t="s">
        <v>170</v>
      </c>
      <c r="F26" s="11" t="s">
        <v>151</v>
      </c>
      <c r="G26" s="11" t="s">
        <v>237</v>
      </c>
      <c r="H26" s="11" t="n">
        <v>12121264</v>
      </c>
      <c r="I26" s="11" t="n">
        <v>1738589</v>
      </c>
      <c r="J26" s="11" t="n">
        <v>2426</v>
      </c>
      <c r="K26" s="11" t="s">
        <v>22</v>
      </c>
      <c r="L26" s="11" t="s">
        <v>172</v>
      </c>
      <c r="M26" s="24" t="n">
        <v>45705</v>
      </c>
      <c r="N26" s="25" t="n">
        <f aca="false">INT((M26-D26)/365.25)</f>
        <v>19</v>
      </c>
      <c r="O26" s="12" t="s">
        <v>22</v>
      </c>
      <c r="P26" s="12" t="s">
        <v>22</v>
      </c>
      <c r="Q26" s="26" t="s">
        <v>238</v>
      </c>
    </row>
    <row r="27" customFormat="false" ht="15" hidden="false" customHeight="false" outlineLevel="0" collapsed="false">
      <c r="A27" s="23" t="n">
        <v>23</v>
      </c>
      <c r="B27" s="11" t="n">
        <v>866193</v>
      </c>
      <c r="C27" s="11" t="s">
        <v>239</v>
      </c>
      <c r="D27" s="12" t="n">
        <v>37574</v>
      </c>
      <c r="E27" s="11" t="s">
        <v>170</v>
      </c>
      <c r="F27" s="11" t="s">
        <v>151</v>
      </c>
      <c r="G27" s="11" t="s">
        <v>240</v>
      </c>
      <c r="H27" s="11" t="n">
        <v>11096088</v>
      </c>
      <c r="I27" s="11" t="n">
        <v>4629551</v>
      </c>
      <c r="J27" s="11" t="n">
        <v>60</v>
      </c>
      <c r="K27" s="11" t="s">
        <v>22</v>
      </c>
      <c r="L27" s="11" t="s">
        <v>172</v>
      </c>
      <c r="M27" s="24" t="n">
        <v>45705</v>
      </c>
      <c r="N27" s="25" t="n">
        <f aca="false">INT((M27-D27)/365.25)</f>
        <v>22</v>
      </c>
      <c r="O27" s="12" t="s">
        <v>22</v>
      </c>
      <c r="P27" s="12" t="s">
        <v>22</v>
      </c>
      <c r="Q27" s="26" t="s">
        <v>241</v>
      </c>
    </row>
    <row r="28" customFormat="false" ht="15" hidden="false" customHeight="false" outlineLevel="0" collapsed="false">
      <c r="A28" s="23" t="n">
        <v>24</v>
      </c>
      <c r="B28" s="11" t="n">
        <v>855234</v>
      </c>
      <c r="C28" s="11" t="s">
        <v>242</v>
      </c>
      <c r="D28" s="12" t="n">
        <v>37590</v>
      </c>
      <c r="E28" s="11" t="s">
        <v>170</v>
      </c>
      <c r="F28" s="11" t="s">
        <v>151</v>
      </c>
      <c r="G28" s="11" t="s">
        <v>243</v>
      </c>
      <c r="H28" s="11" t="n">
        <v>11464586</v>
      </c>
      <c r="I28" s="11" t="n">
        <v>1343555</v>
      </c>
      <c r="J28" s="11" t="n">
        <v>5408</v>
      </c>
      <c r="K28" s="11" t="s">
        <v>22</v>
      </c>
      <c r="L28" s="11" t="s">
        <v>172</v>
      </c>
      <c r="M28" s="24" t="n">
        <v>45705</v>
      </c>
      <c r="N28" s="25" t="n">
        <f aca="false">INT((M28-D28)/365.25)</f>
        <v>22</v>
      </c>
      <c r="O28" s="12" t="s">
        <v>22</v>
      </c>
      <c r="P28" s="12" t="s">
        <v>22</v>
      </c>
      <c r="Q28" s="26" t="s">
        <v>244</v>
      </c>
    </row>
    <row r="29" customFormat="false" ht="15" hidden="false" customHeight="false" outlineLevel="0" collapsed="false">
      <c r="A29" s="23" t="n">
        <v>25</v>
      </c>
      <c r="B29" s="11" t="n">
        <v>866195</v>
      </c>
      <c r="C29" s="11" t="s">
        <v>245</v>
      </c>
      <c r="D29" s="12" t="n">
        <v>36667</v>
      </c>
      <c r="E29" s="11" t="s">
        <v>170</v>
      </c>
      <c r="F29" s="11" t="s">
        <v>151</v>
      </c>
      <c r="G29" s="11" t="s">
        <v>246</v>
      </c>
      <c r="H29" s="11" t="s">
        <v>247</v>
      </c>
      <c r="I29" s="11" t="n">
        <v>1225059</v>
      </c>
      <c r="J29" s="11" t="n">
        <v>6409</v>
      </c>
      <c r="K29" s="11" t="s">
        <v>22</v>
      </c>
      <c r="L29" s="11" t="s">
        <v>172</v>
      </c>
      <c r="M29" s="24" t="n">
        <v>45705</v>
      </c>
      <c r="N29" s="25" t="n">
        <f aca="false">INT((M29-D29)/365.25)</f>
        <v>24</v>
      </c>
      <c r="O29" s="12" t="s">
        <v>22</v>
      </c>
      <c r="P29" s="12" t="s">
        <v>22</v>
      </c>
      <c r="Q29" s="26" t="s">
        <v>248</v>
      </c>
    </row>
    <row r="30" customFormat="false" ht="15" hidden="false" customHeight="false" outlineLevel="0" collapsed="false">
      <c r="A30" s="23" t="n">
        <v>26</v>
      </c>
      <c r="B30" s="11" t="n">
        <v>866196</v>
      </c>
      <c r="C30" s="11" t="s">
        <v>249</v>
      </c>
      <c r="D30" s="12" t="n">
        <v>37536</v>
      </c>
      <c r="E30" s="11" t="s">
        <v>170</v>
      </c>
      <c r="F30" s="11" t="s">
        <v>151</v>
      </c>
      <c r="G30" s="11" t="s">
        <v>250</v>
      </c>
      <c r="H30" s="11" t="n">
        <v>11604165</v>
      </c>
      <c r="I30" s="11" t="n">
        <v>1705076</v>
      </c>
      <c r="J30" s="11" t="n">
        <v>9479</v>
      </c>
      <c r="K30" s="11" t="s">
        <v>22</v>
      </c>
      <c r="L30" s="11" t="s">
        <v>172</v>
      </c>
      <c r="M30" s="24" t="n">
        <v>45705</v>
      </c>
      <c r="N30" s="25" t="n">
        <f aca="false">INT((M30-D30)/365.25)</f>
        <v>22</v>
      </c>
      <c r="O30" s="12" t="s">
        <v>30</v>
      </c>
      <c r="P30" s="12" t="s">
        <v>22</v>
      </c>
      <c r="Q30" s="12" t="s">
        <v>251</v>
      </c>
    </row>
    <row r="31" customFormat="false" ht="14.25" hidden="false" customHeight="true" outlineLevel="0" collapsed="false">
      <c r="A31" s="23" t="n">
        <v>27</v>
      </c>
      <c r="B31" s="11" t="n">
        <v>866398</v>
      </c>
      <c r="C31" s="11" t="s">
        <v>252</v>
      </c>
      <c r="D31" s="12" t="n">
        <v>38706</v>
      </c>
      <c r="E31" s="11" t="s">
        <v>170</v>
      </c>
      <c r="F31" s="11" t="s">
        <v>151</v>
      </c>
      <c r="G31" s="11" t="s">
        <v>253</v>
      </c>
      <c r="H31" s="11" t="s">
        <v>254</v>
      </c>
      <c r="I31" s="11" t="n">
        <v>1285268</v>
      </c>
      <c r="J31" s="11" t="n">
        <v>3423</v>
      </c>
      <c r="K31" s="11" t="s">
        <v>22</v>
      </c>
      <c r="L31" s="11" t="s">
        <v>172</v>
      </c>
      <c r="M31" s="24" t="n">
        <v>45705</v>
      </c>
      <c r="N31" s="25" t="n">
        <f aca="false">INT((M31-D31)/365.25)</f>
        <v>19</v>
      </c>
      <c r="O31" s="12" t="s">
        <v>30</v>
      </c>
      <c r="P31" s="12" t="s">
        <v>22</v>
      </c>
      <c r="Q31" s="12" t="s">
        <v>255</v>
      </c>
    </row>
    <row r="32" customFormat="false" ht="15" hidden="false" customHeight="false" outlineLevel="0" collapsed="false">
      <c r="Q32" s="12"/>
    </row>
  </sheetData>
  <autoFilter ref="Q1:Q32"/>
  <mergeCells count="1">
    <mergeCell ref="A1:O2"/>
  </mergeCells>
  <conditionalFormatting sqref="N5:N31">
    <cfRule type="colorScale" priority="2">
      <colorScale>
        <cfvo type="num" val="17"/>
        <cfvo type="num" val="18"/>
        <color rgb="FFFF0000"/>
        <color rgb="FF92D050"/>
      </colorScale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6.14"/>
    <col collapsed="false" customWidth="true" hidden="false" outlineLevel="0" max="2" min="2" style="0" width="34"/>
    <col collapsed="false" customWidth="true" hidden="false" outlineLevel="0" max="3" min="3" style="0" width="20.57"/>
  </cols>
  <sheetData>
    <row r="1" customFormat="false" ht="15" hidden="false" customHeight="false" outlineLevel="0" collapsed="false">
      <c r="A1" s="10" t="n">
        <v>866322</v>
      </c>
      <c r="B1" s="17" t="s">
        <v>169</v>
      </c>
    </row>
    <row r="2" customFormat="false" ht="15" hidden="false" customHeight="false" outlineLevel="0" collapsed="false">
      <c r="A2" s="10" t="n">
        <v>866128</v>
      </c>
      <c r="B2" s="17" t="s">
        <v>174</v>
      </c>
    </row>
    <row r="3" customFormat="false" ht="15" hidden="false" customHeight="false" outlineLevel="0" collapsed="false">
      <c r="A3" s="10" t="n">
        <v>866129</v>
      </c>
      <c r="B3" s="17" t="s">
        <v>177</v>
      </c>
    </row>
    <row r="4" customFormat="false" ht="15" hidden="false" customHeight="false" outlineLevel="0" collapsed="false">
      <c r="A4" s="11" t="n">
        <v>866131</v>
      </c>
      <c r="B4" s="11" t="s">
        <v>180</v>
      </c>
    </row>
    <row r="5" customFormat="false" ht="15" hidden="false" customHeight="false" outlineLevel="0" collapsed="false">
      <c r="A5" s="11" t="n">
        <v>866154</v>
      </c>
      <c r="B5" s="11" t="s">
        <v>183</v>
      </c>
    </row>
    <row r="6" customFormat="false" ht="15" hidden="false" customHeight="false" outlineLevel="0" collapsed="false">
      <c r="A6" s="11" t="n">
        <v>866398</v>
      </c>
      <c r="B6" s="11" t="s">
        <v>252</v>
      </c>
    </row>
    <row r="7" customFormat="false" ht="15" hidden="false" customHeight="false" outlineLevel="0" collapsed="false">
      <c r="A7" s="11" t="n">
        <v>866157</v>
      </c>
      <c r="B7" s="11" t="s">
        <v>186</v>
      </c>
    </row>
    <row r="8" customFormat="false" ht="15" hidden="false" customHeight="false" outlineLevel="0" collapsed="false">
      <c r="A8" s="11" t="n">
        <v>855217</v>
      </c>
      <c r="B8" s="11" t="s">
        <v>189</v>
      </c>
    </row>
    <row r="9" customFormat="false" ht="15" hidden="false" customHeight="false" outlineLevel="0" collapsed="false">
      <c r="A9" s="11" t="n">
        <v>866160</v>
      </c>
      <c r="B9" s="11" t="s">
        <v>193</v>
      </c>
    </row>
    <row r="10" customFormat="false" ht="15" hidden="false" customHeight="false" outlineLevel="0" collapsed="false">
      <c r="A10" s="11" t="n">
        <v>866162</v>
      </c>
      <c r="B10" s="11" t="s">
        <v>256</v>
      </c>
      <c r="C10" s="11"/>
    </row>
    <row r="11" customFormat="false" ht="15" hidden="false" customHeight="false" outlineLevel="0" collapsed="false">
      <c r="A11" s="11" t="n">
        <v>855196</v>
      </c>
      <c r="B11" s="11" t="s">
        <v>199</v>
      </c>
    </row>
    <row r="12" customFormat="false" ht="15" hidden="false" customHeight="false" outlineLevel="0" collapsed="false">
      <c r="A12" s="11" t="n">
        <v>866166</v>
      </c>
      <c r="B12" s="11" t="s">
        <v>202</v>
      </c>
    </row>
    <row r="13" customFormat="false" ht="15" hidden="false" customHeight="false" outlineLevel="0" collapsed="false">
      <c r="A13" s="11" t="n">
        <v>866167</v>
      </c>
      <c r="B13" s="11" t="s">
        <v>206</v>
      </c>
    </row>
    <row r="14" customFormat="false" ht="15" hidden="false" customHeight="false" outlineLevel="0" collapsed="false">
      <c r="A14" s="11" t="n">
        <v>456280</v>
      </c>
      <c r="B14" s="11" t="s">
        <v>209</v>
      </c>
    </row>
    <row r="15" customFormat="false" ht="15" hidden="false" customHeight="false" outlineLevel="0" collapsed="false">
      <c r="A15" s="11" t="n">
        <v>866172</v>
      </c>
      <c r="B15" s="11" t="s">
        <v>212</v>
      </c>
    </row>
    <row r="16" customFormat="false" ht="15" hidden="false" customHeight="false" outlineLevel="0" collapsed="false">
      <c r="A16" s="11" t="n">
        <v>857921</v>
      </c>
      <c r="B16" s="11" t="s">
        <v>215</v>
      </c>
    </row>
    <row r="17" customFormat="false" ht="15" hidden="false" customHeight="false" outlineLevel="0" collapsed="false">
      <c r="A17" s="11" t="n">
        <v>736510</v>
      </c>
      <c r="B17" s="11" t="s">
        <v>218</v>
      </c>
    </row>
    <row r="18" customFormat="false" ht="15" hidden="false" customHeight="false" outlineLevel="0" collapsed="false">
      <c r="A18" s="11" t="n">
        <v>824544</v>
      </c>
      <c r="B18" s="11" t="s">
        <v>221</v>
      </c>
    </row>
    <row r="19" customFormat="false" ht="15" hidden="false" customHeight="false" outlineLevel="0" collapsed="false">
      <c r="A19" s="11" t="n">
        <v>866183</v>
      </c>
      <c r="B19" s="11" t="s">
        <v>224</v>
      </c>
    </row>
    <row r="20" customFormat="false" ht="15" hidden="false" customHeight="false" outlineLevel="0" collapsed="false">
      <c r="A20" s="11" t="n">
        <v>864127</v>
      </c>
      <c r="B20" s="11" t="s">
        <v>227</v>
      </c>
    </row>
    <row r="21" customFormat="false" ht="15" hidden="false" customHeight="false" outlineLevel="0" collapsed="false">
      <c r="A21" s="11" t="n">
        <v>866188</v>
      </c>
      <c r="B21" s="11" t="s">
        <v>230</v>
      </c>
    </row>
    <row r="22" customFormat="false" ht="15" hidden="false" customHeight="false" outlineLevel="0" collapsed="false">
      <c r="A22" s="11" t="n">
        <v>866323</v>
      </c>
      <c r="B22" s="11" t="s">
        <v>233</v>
      </c>
    </row>
    <row r="23" customFormat="false" ht="15" hidden="false" customHeight="false" outlineLevel="0" collapsed="false">
      <c r="A23" s="11" t="n">
        <v>866192</v>
      </c>
      <c r="B23" s="11" t="s">
        <v>236</v>
      </c>
    </row>
    <row r="24" customFormat="false" ht="15" hidden="false" customHeight="false" outlineLevel="0" collapsed="false">
      <c r="A24" s="11" t="n">
        <v>866193</v>
      </c>
      <c r="B24" s="11" t="s">
        <v>239</v>
      </c>
    </row>
    <row r="25" customFormat="false" ht="15" hidden="false" customHeight="false" outlineLevel="0" collapsed="false">
      <c r="A25" s="11" t="n">
        <v>855234</v>
      </c>
      <c r="B25" s="11" t="s">
        <v>242</v>
      </c>
    </row>
    <row r="26" customFormat="false" ht="15" hidden="false" customHeight="false" outlineLevel="0" collapsed="false">
      <c r="A26" s="11" t="n">
        <v>866195</v>
      </c>
      <c r="B26" s="11" t="s">
        <v>257</v>
      </c>
    </row>
    <row r="27" customFormat="false" ht="15" hidden="false" customHeight="false" outlineLevel="0" collapsed="false">
      <c r="A27" s="11" t="n">
        <v>866196</v>
      </c>
      <c r="B27" s="11" t="s">
        <v>249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25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C32" activeCellId="0" sqref="C32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7.43"/>
    <col collapsed="false" customWidth="true" hidden="false" outlineLevel="0" max="3" min="3" style="0" width="34"/>
    <col collapsed="false" customWidth="true" hidden="false" outlineLevel="0" max="4" min="4" style="0" width="9.43"/>
    <col collapsed="false" customWidth="true" hidden="false" outlineLevel="0" max="5" min="5" style="0" width="15.43"/>
    <col collapsed="false" customWidth="true" hidden="false" outlineLevel="0" max="6" min="6" style="0" width="7.15"/>
    <col collapsed="false" customWidth="true" hidden="false" outlineLevel="0" max="7" min="7" style="0" width="11.86"/>
    <col collapsed="false" customWidth="true" hidden="false" outlineLevel="0" max="8" min="8" style="0" width="12.72"/>
    <col collapsed="false" customWidth="true" hidden="false" outlineLevel="0" max="9" min="9" style="0" width="8.29"/>
    <col collapsed="false" customWidth="true" hidden="false" outlineLevel="0" max="10" min="10" style="0" width="6.43"/>
    <col collapsed="false" customWidth="true" hidden="false" outlineLevel="0" max="11" min="11" style="0" width="7"/>
    <col collapsed="false" customWidth="true" hidden="false" outlineLevel="0" max="12" min="12" style="0" width="20.29"/>
    <col collapsed="false" customWidth="true" hidden="false" outlineLevel="0" max="13" min="13" style="0" width="9.29"/>
    <col collapsed="false" customWidth="true" hidden="false" outlineLevel="0" max="14" min="14" style="0" width="8"/>
    <col collapsed="false" customWidth="true" hidden="false" outlineLevel="0" max="15" min="15" style="0" width="6.57"/>
    <col collapsed="false" customWidth="true" hidden="false" outlineLevel="0" max="16" min="16" style="0" width="16.57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15" hidden="false" customHeight="false" outlineLevel="0" collapsed="false">
      <c r="A3" s="19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20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16</v>
      </c>
    </row>
    <row r="4" customFormat="false" ht="15" hidden="false" customHeight="false" outlineLevel="0" collapsed="false">
      <c r="A4" s="21"/>
      <c r="B4" s="2"/>
      <c r="C4" s="6" t="s">
        <v>258</v>
      </c>
      <c r="D4" s="7"/>
      <c r="E4" s="2"/>
      <c r="F4" s="2"/>
      <c r="G4" s="2"/>
      <c r="H4" s="2"/>
      <c r="I4" s="2"/>
      <c r="J4" s="2"/>
      <c r="K4" s="2"/>
      <c r="L4" s="8"/>
      <c r="M4" s="22"/>
      <c r="N4" s="6"/>
      <c r="O4" s="6"/>
      <c r="P4" s="6"/>
    </row>
    <row r="5" customFormat="false" ht="15" hidden="false" customHeight="false" outlineLevel="0" collapsed="false">
      <c r="A5" s="23" t="n">
        <v>1</v>
      </c>
      <c r="B5" s="27" t="n">
        <v>866153</v>
      </c>
      <c r="C5" s="27" t="s">
        <v>259</v>
      </c>
      <c r="D5" s="28" t="n">
        <v>34037</v>
      </c>
      <c r="E5" s="27" t="s">
        <v>170</v>
      </c>
      <c r="F5" s="27" t="s">
        <v>151</v>
      </c>
      <c r="G5" s="27" t="s">
        <v>260</v>
      </c>
      <c r="H5" s="27" t="s">
        <v>261</v>
      </c>
      <c r="I5" s="27" t="n">
        <v>6046397</v>
      </c>
      <c r="J5" s="27" t="n">
        <v>2350</v>
      </c>
      <c r="K5" s="27" t="s">
        <v>22</v>
      </c>
      <c r="L5" s="27" t="s">
        <v>172</v>
      </c>
      <c r="M5" s="29" t="n">
        <v>45705</v>
      </c>
      <c r="N5" s="30" t="n">
        <f aca="false">INT((M5-D5)/365.25)</f>
        <v>31</v>
      </c>
      <c r="O5" s="28" t="s">
        <v>30</v>
      </c>
      <c r="P5" s="28" t="s">
        <v>22</v>
      </c>
    </row>
    <row r="6" customFormat="false" ht="15" hidden="false" customHeight="false" outlineLevel="0" collapsed="false">
      <c r="A6" s="23" t="n">
        <v>2</v>
      </c>
      <c r="B6" s="27" t="n">
        <v>866169</v>
      </c>
      <c r="C6" s="27" t="s">
        <v>262</v>
      </c>
      <c r="D6" s="28" t="n">
        <v>37101</v>
      </c>
      <c r="E6" s="27" t="s">
        <v>170</v>
      </c>
      <c r="F6" s="27" t="s">
        <v>151</v>
      </c>
      <c r="G6" s="27" t="s">
        <v>263</v>
      </c>
      <c r="H6" s="27" t="n">
        <v>11472159</v>
      </c>
      <c r="I6" s="27" t="n">
        <v>1736175</v>
      </c>
      <c r="J6" s="27" t="n">
        <v>6450</v>
      </c>
      <c r="K6" s="27" t="s">
        <v>22</v>
      </c>
      <c r="L6" s="27" t="s">
        <v>172</v>
      </c>
      <c r="M6" s="29" t="n">
        <v>45705</v>
      </c>
      <c r="N6" s="30" t="n">
        <f aca="false">INT((M6-D6)/365.25)</f>
        <v>23</v>
      </c>
      <c r="O6" s="28" t="s">
        <v>30</v>
      </c>
      <c r="P6" s="28" t="s">
        <v>22</v>
      </c>
    </row>
    <row r="7" customFormat="false" ht="15" hidden="false" customHeight="false" outlineLevel="0" collapsed="false">
      <c r="A7" s="23" t="n">
        <v>3</v>
      </c>
      <c r="B7" s="27" t="n">
        <v>860442</v>
      </c>
      <c r="C7" s="27" t="s">
        <v>264</v>
      </c>
      <c r="D7" s="28" t="n">
        <v>35536</v>
      </c>
      <c r="E7" s="27" t="s">
        <v>170</v>
      </c>
      <c r="F7" s="27" t="s">
        <v>151</v>
      </c>
      <c r="G7" s="27" t="s">
        <v>265</v>
      </c>
      <c r="H7" s="27" t="s">
        <v>266</v>
      </c>
      <c r="I7" s="27" t="n">
        <v>7805903</v>
      </c>
      <c r="J7" s="27" t="n">
        <v>40</v>
      </c>
      <c r="K7" s="27" t="s">
        <v>22</v>
      </c>
      <c r="L7" s="27" t="s">
        <v>172</v>
      </c>
      <c r="M7" s="29" t="n">
        <v>45705</v>
      </c>
      <c r="N7" s="30" t="n">
        <f aca="false">INT((M7-D7)/365.25)</f>
        <v>27</v>
      </c>
      <c r="O7" s="28" t="s">
        <v>30</v>
      </c>
      <c r="P7" s="28" t="s">
        <v>22</v>
      </c>
    </row>
    <row r="8" customFormat="false" ht="15" hidden="false" customHeight="false" outlineLevel="0" collapsed="false">
      <c r="A8" s="23" t="n">
        <v>4</v>
      </c>
      <c r="B8" s="27" t="n">
        <v>866175</v>
      </c>
      <c r="C8" s="27" t="s">
        <v>267</v>
      </c>
      <c r="D8" s="28" t="n">
        <v>36647</v>
      </c>
      <c r="E8" s="27" t="s">
        <v>170</v>
      </c>
      <c r="F8" s="27" t="s">
        <v>151</v>
      </c>
      <c r="G8" s="27" t="s">
        <v>268</v>
      </c>
      <c r="H8" s="27" t="n">
        <v>10531644</v>
      </c>
      <c r="I8" s="27" t="n">
        <v>12204</v>
      </c>
      <c r="J8" s="27" t="n">
        <v>113</v>
      </c>
      <c r="K8" s="27" t="s">
        <v>22</v>
      </c>
      <c r="L8" s="27" t="s">
        <v>172</v>
      </c>
      <c r="M8" s="29" t="n">
        <v>45705</v>
      </c>
      <c r="N8" s="30" t="n">
        <f aca="false">INT((M8-D8)/365.25)</f>
        <v>24</v>
      </c>
      <c r="O8" s="28" t="s">
        <v>30</v>
      </c>
      <c r="P8" s="28" t="s">
        <v>22</v>
      </c>
    </row>
    <row r="9" customFormat="false" ht="15" hidden="false" customHeight="false" outlineLevel="0" collapsed="false">
      <c r="A9" s="23" t="n">
        <v>5</v>
      </c>
      <c r="B9" s="27" t="n">
        <v>862707</v>
      </c>
      <c r="C9" s="27" t="s">
        <v>269</v>
      </c>
      <c r="D9" s="28" t="n">
        <v>32097</v>
      </c>
      <c r="E9" s="27" t="s">
        <v>170</v>
      </c>
      <c r="F9" s="27" t="s">
        <v>151</v>
      </c>
      <c r="G9" s="27" t="s">
        <v>270</v>
      </c>
      <c r="H9" s="27" t="s">
        <v>271</v>
      </c>
      <c r="I9" s="27" t="n">
        <v>9012298</v>
      </c>
      <c r="J9" s="27" t="s">
        <v>272</v>
      </c>
      <c r="K9" s="27" t="s">
        <v>22</v>
      </c>
      <c r="L9" s="27" t="s">
        <v>172</v>
      </c>
      <c r="M9" s="29" t="n">
        <v>45705</v>
      </c>
      <c r="N9" s="30" t="n">
        <f aca="false">INT((M9-D9)/365.25)</f>
        <v>37</v>
      </c>
      <c r="O9" s="28" t="s">
        <v>30</v>
      </c>
      <c r="P9" s="28" t="s">
        <v>22</v>
      </c>
    </row>
    <row r="10" customFormat="false" ht="15" hidden="false" customHeight="false" outlineLevel="0" collapsed="false">
      <c r="A10" s="23" t="n">
        <v>6</v>
      </c>
      <c r="B10" s="27" t="n">
        <v>866190</v>
      </c>
      <c r="C10" s="27" t="s">
        <v>273</v>
      </c>
      <c r="D10" s="28" t="n">
        <v>37746</v>
      </c>
      <c r="E10" s="27" t="s">
        <v>170</v>
      </c>
      <c r="F10" s="27" t="s">
        <v>151</v>
      </c>
      <c r="G10" s="27" t="s">
        <v>274</v>
      </c>
      <c r="H10" s="27" t="n">
        <v>11572172</v>
      </c>
      <c r="I10" s="27" t="n">
        <v>1276006</v>
      </c>
      <c r="J10" s="27" t="n">
        <v>7483</v>
      </c>
      <c r="K10" s="27" t="s">
        <v>22</v>
      </c>
      <c r="L10" s="27" t="s">
        <v>172</v>
      </c>
      <c r="M10" s="29" t="n">
        <v>45705</v>
      </c>
      <c r="N10" s="30" t="n">
        <f aca="false">INT((M10-D10)/365.25)</f>
        <v>21</v>
      </c>
      <c r="O10" s="28" t="s">
        <v>30</v>
      </c>
      <c r="P10" s="28" t="s">
        <v>22</v>
      </c>
    </row>
    <row r="11" customFormat="false" ht="15" hidden="false" customHeight="false" outlineLevel="0" collapsed="false">
      <c r="A11" s="23" t="n">
        <v>7</v>
      </c>
      <c r="B11" s="27" t="n">
        <v>866361</v>
      </c>
      <c r="C11" s="27" t="s">
        <v>275</v>
      </c>
      <c r="D11" s="28" t="n">
        <v>29731</v>
      </c>
      <c r="E11" s="27" t="s">
        <v>170</v>
      </c>
      <c r="F11" s="27" t="s">
        <v>151</v>
      </c>
      <c r="G11" s="27" t="s">
        <v>276</v>
      </c>
      <c r="H11" s="27" t="n">
        <v>99010046150</v>
      </c>
      <c r="I11" s="27" t="n">
        <v>9672425</v>
      </c>
      <c r="J11" s="27" t="n">
        <v>315</v>
      </c>
      <c r="K11" s="27" t="s">
        <v>22</v>
      </c>
      <c r="L11" s="27" t="s">
        <v>172</v>
      </c>
      <c r="M11" s="29" t="n">
        <v>45705</v>
      </c>
      <c r="N11" s="30" t="n">
        <f aca="false">INT((M11-D11)/365.25)</f>
        <v>43</v>
      </c>
      <c r="O11" s="28" t="s">
        <v>30</v>
      </c>
      <c r="P11" s="28" t="s">
        <v>22</v>
      </c>
    </row>
    <row r="12" customFormat="false" ht="14.25" hidden="false" customHeight="true" outlineLevel="0" collapsed="false">
      <c r="A12" s="23" t="n">
        <v>8</v>
      </c>
      <c r="B12" s="27" t="n">
        <v>846874</v>
      </c>
      <c r="C12" s="27" t="s">
        <v>277</v>
      </c>
      <c r="D12" s="28" t="n">
        <v>37552</v>
      </c>
      <c r="E12" s="27" t="s">
        <v>170</v>
      </c>
      <c r="F12" s="27" t="s">
        <v>151</v>
      </c>
      <c r="G12" s="27" t="s">
        <v>278</v>
      </c>
      <c r="H12" s="27" t="n">
        <v>11582172</v>
      </c>
      <c r="I12" s="27" t="n">
        <v>3208278</v>
      </c>
      <c r="J12" s="27" t="n">
        <v>60</v>
      </c>
      <c r="K12" s="27" t="s">
        <v>22</v>
      </c>
      <c r="L12" s="27" t="s">
        <v>172</v>
      </c>
      <c r="M12" s="29" t="n">
        <v>45705</v>
      </c>
      <c r="N12" s="30" t="n">
        <f aca="false">INT((M12-D12)/365.25)</f>
        <v>22</v>
      </c>
      <c r="O12" s="28" t="s">
        <v>30</v>
      </c>
      <c r="P12" s="28" t="s">
        <v>22</v>
      </c>
    </row>
    <row r="13" customFormat="false" ht="15" hidden="false" customHeight="false" outlineLevel="0" collapsed="false">
      <c r="A13" s="23" t="n">
        <v>9</v>
      </c>
      <c r="B13" s="11" t="n">
        <v>817362</v>
      </c>
      <c r="C13" s="11" t="s">
        <v>279</v>
      </c>
      <c r="D13" s="12" t="n">
        <v>36572</v>
      </c>
      <c r="E13" s="11" t="s">
        <v>280</v>
      </c>
      <c r="F13" s="11" t="s">
        <v>165</v>
      </c>
      <c r="G13" s="11" t="s">
        <v>281</v>
      </c>
      <c r="H13" s="11" t="n">
        <v>7519681</v>
      </c>
      <c r="I13" s="11" t="n">
        <v>298486</v>
      </c>
      <c r="J13" s="11" t="n">
        <v>7254</v>
      </c>
      <c r="K13" s="11" t="s">
        <v>30</v>
      </c>
      <c r="L13" s="11" t="s">
        <v>282</v>
      </c>
      <c r="M13" s="24" t="n">
        <v>45717</v>
      </c>
      <c r="N13" s="25" t="n">
        <f aca="false">INT((M13-D13)/365.25)</f>
        <v>25</v>
      </c>
      <c r="O13" s="12" t="s">
        <v>30</v>
      </c>
      <c r="P13" s="12" t="s">
        <v>22</v>
      </c>
      <c r="Q13" s="0" t="s">
        <v>283</v>
      </c>
    </row>
    <row r="14" customFormat="false" ht="15" hidden="false" customHeight="false" outlineLevel="0" collapsed="false">
      <c r="A14" s="23" t="n">
        <v>10</v>
      </c>
      <c r="B14" s="31" t="s">
        <v>284</v>
      </c>
      <c r="C14" s="27" t="s">
        <v>285</v>
      </c>
      <c r="D14" s="28" t="n">
        <v>36668</v>
      </c>
      <c r="E14" s="27"/>
      <c r="F14" s="27"/>
      <c r="G14" s="27" t="s">
        <v>286</v>
      </c>
      <c r="H14" s="27" t="n">
        <v>8378721</v>
      </c>
      <c r="I14" s="27" t="n">
        <v>889622</v>
      </c>
      <c r="J14" s="27" t="n">
        <v>2214</v>
      </c>
      <c r="K14" s="27" t="s">
        <v>30</v>
      </c>
      <c r="L14" s="27"/>
      <c r="M14" s="29" t="n">
        <v>45730</v>
      </c>
      <c r="N14" s="30" t="n">
        <f aca="false">INT((M14-D14)/365.25)</f>
        <v>24</v>
      </c>
      <c r="O14" s="28" t="s">
        <v>22</v>
      </c>
      <c r="P14" s="32" t="s">
        <v>287</v>
      </c>
    </row>
    <row r="15" customFormat="false" ht="15" hidden="false" customHeight="false" outlineLevel="0" collapsed="false">
      <c r="A15" s="23" t="n">
        <v>11</v>
      </c>
      <c r="B15" s="31" t="s">
        <v>284</v>
      </c>
      <c r="C15" s="27" t="s">
        <v>288</v>
      </c>
      <c r="D15" s="28" t="n">
        <v>37094</v>
      </c>
      <c r="E15" s="27"/>
      <c r="F15" s="27"/>
      <c r="G15" s="27" t="s">
        <v>289</v>
      </c>
      <c r="H15" s="27" t="n">
        <v>9167486</v>
      </c>
      <c r="I15" s="27" t="n">
        <v>813284</v>
      </c>
      <c r="J15" s="27" t="n">
        <v>8217</v>
      </c>
      <c r="K15" s="27" t="s">
        <v>30</v>
      </c>
      <c r="L15" s="27"/>
      <c r="M15" s="29" t="n">
        <v>45730</v>
      </c>
      <c r="N15" s="30" t="n">
        <f aca="false">INT((M15-D15)/365.25)</f>
        <v>23</v>
      </c>
      <c r="O15" s="28" t="s">
        <v>22</v>
      </c>
      <c r="P15" s="32" t="s">
        <v>287</v>
      </c>
    </row>
    <row r="16" customFormat="false" ht="15" hidden="false" customHeight="false" outlineLevel="0" collapsed="false">
      <c r="A16" s="23" t="n">
        <v>12</v>
      </c>
      <c r="B16" s="31" t="s">
        <v>290</v>
      </c>
      <c r="C16" s="27" t="s">
        <v>291</v>
      </c>
      <c r="D16" s="28" t="n">
        <v>31335</v>
      </c>
      <c r="E16" s="27"/>
      <c r="F16" s="27"/>
      <c r="G16" s="27" t="s">
        <v>292</v>
      </c>
      <c r="H16" s="27" t="n">
        <v>7529074</v>
      </c>
      <c r="I16" s="27" t="n">
        <v>8451741</v>
      </c>
      <c r="J16" s="27" t="n">
        <v>50</v>
      </c>
      <c r="K16" s="27" t="s">
        <v>30</v>
      </c>
      <c r="L16" s="27"/>
      <c r="M16" s="29" t="n">
        <v>45742</v>
      </c>
      <c r="N16" s="30" t="n">
        <f aca="false">INT((M16-D16)/365.25)</f>
        <v>39</v>
      </c>
      <c r="O16" s="28" t="s">
        <v>22</v>
      </c>
    </row>
    <row r="17" customFormat="false" ht="15" hidden="false" customHeight="false" outlineLevel="0" collapsed="false">
      <c r="A17" s="23" t="n">
        <v>13</v>
      </c>
      <c r="B17" s="31" t="s">
        <v>290</v>
      </c>
      <c r="C17" s="27" t="s">
        <v>293</v>
      </c>
      <c r="D17" s="28" t="n">
        <v>34307</v>
      </c>
      <c r="E17" s="27"/>
      <c r="F17" s="27"/>
      <c r="G17" s="27" t="s">
        <v>294</v>
      </c>
      <c r="H17" s="27" t="s">
        <v>295</v>
      </c>
      <c r="I17" s="27" t="n">
        <v>671898</v>
      </c>
      <c r="J17" s="27" t="n">
        <v>6399</v>
      </c>
      <c r="K17" s="27" t="s">
        <v>30</v>
      </c>
      <c r="L17" s="27" t="s">
        <v>296</v>
      </c>
      <c r="M17" s="29" t="n">
        <v>45748</v>
      </c>
      <c r="N17" s="30" t="n">
        <f aca="false">INT((M17-D17)/365.25)</f>
        <v>31</v>
      </c>
      <c r="O17" s="28" t="s">
        <v>22</v>
      </c>
      <c r="P17" s="33" t="s">
        <v>297</v>
      </c>
    </row>
    <row r="18" customFormat="false" ht="15" hidden="false" customHeight="false" outlineLevel="0" collapsed="false">
      <c r="A18" s="23" t="n">
        <v>14</v>
      </c>
      <c r="B18" s="31" t="s">
        <v>290</v>
      </c>
      <c r="C18" s="27" t="s">
        <v>298</v>
      </c>
      <c r="D18" s="28" t="n">
        <v>34925</v>
      </c>
      <c r="E18" s="27"/>
      <c r="F18" s="27"/>
      <c r="G18" s="27" t="s">
        <v>299</v>
      </c>
      <c r="H18" s="27" t="n">
        <v>7576607</v>
      </c>
      <c r="I18" s="27" t="n">
        <v>66307</v>
      </c>
      <c r="J18" s="27" t="n">
        <v>67</v>
      </c>
      <c r="K18" s="27" t="s">
        <v>30</v>
      </c>
      <c r="L18" s="27" t="s">
        <v>300</v>
      </c>
      <c r="M18" s="29" t="n">
        <v>45770</v>
      </c>
      <c r="N18" s="30" t="n">
        <f aca="false">INT((M18-D18)/365.25)</f>
        <v>29</v>
      </c>
      <c r="O18" s="28" t="s">
        <v>22</v>
      </c>
      <c r="P18" s="33" t="s">
        <v>301</v>
      </c>
    </row>
    <row r="19" customFormat="false" ht="15" hidden="false" customHeight="false" outlineLevel="0" collapsed="false">
      <c r="A19" s="23" t="n">
        <v>15</v>
      </c>
      <c r="B19" s="31" t="s">
        <v>290</v>
      </c>
      <c r="C19" s="27" t="s">
        <v>302</v>
      </c>
      <c r="D19" s="28" t="n">
        <v>37430</v>
      </c>
      <c r="E19" s="27"/>
      <c r="F19" s="27"/>
      <c r="G19" s="27" t="s">
        <v>303</v>
      </c>
      <c r="H19" s="27" t="n">
        <v>4825332</v>
      </c>
      <c r="I19" s="27" t="n">
        <v>1150602</v>
      </c>
      <c r="J19" s="27" t="n">
        <v>3339</v>
      </c>
      <c r="K19" s="27" t="s">
        <v>30</v>
      </c>
      <c r="L19" s="27" t="s">
        <v>300</v>
      </c>
      <c r="M19" s="29" t="n">
        <v>45771</v>
      </c>
      <c r="N19" s="30" t="n">
        <f aca="false">INT((M19-D19)/365.25)</f>
        <v>22</v>
      </c>
      <c r="O19" s="28" t="s">
        <v>22</v>
      </c>
      <c r="P19" s="33" t="s">
        <v>304</v>
      </c>
    </row>
    <row r="20" customFormat="false" ht="15" hidden="false" customHeight="false" outlineLevel="0" collapsed="false">
      <c r="A20" s="23" t="n">
        <v>16</v>
      </c>
      <c r="B20" s="31" t="s">
        <v>290</v>
      </c>
      <c r="C20" s="27" t="s">
        <v>305</v>
      </c>
      <c r="D20" s="28" t="n">
        <v>36735</v>
      </c>
      <c r="E20" s="27"/>
      <c r="F20" s="27"/>
      <c r="G20" s="27" t="s">
        <v>306</v>
      </c>
      <c r="H20" s="27" t="s">
        <v>307</v>
      </c>
      <c r="I20" s="27" t="n">
        <v>784856</v>
      </c>
      <c r="J20" s="27" t="n">
        <v>3383</v>
      </c>
      <c r="K20" s="27" t="s">
        <v>22</v>
      </c>
      <c r="L20" s="27" t="s">
        <v>300</v>
      </c>
      <c r="M20" s="29" t="n">
        <v>45777</v>
      </c>
      <c r="N20" s="30" t="n">
        <f aca="false">INT((M20-D20)/365.25)</f>
        <v>24</v>
      </c>
      <c r="O20" s="28" t="s">
        <v>22</v>
      </c>
      <c r="P20" s="33" t="s">
        <v>308</v>
      </c>
    </row>
    <row r="21" customFormat="false" ht="15" hidden="false" customHeight="false" outlineLevel="0" collapsed="false">
      <c r="A21" s="23" t="n">
        <v>17</v>
      </c>
      <c r="B21" s="31" t="s">
        <v>290</v>
      </c>
      <c r="C21" s="27" t="s">
        <v>309</v>
      </c>
      <c r="D21" s="28" t="n">
        <v>35963</v>
      </c>
      <c r="E21" s="27"/>
      <c r="F21" s="27"/>
      <c r="G21" s="27" t="s">
        <v>310</v>
      </c>
      <c r="H21" s="27" t="s">
        <v>311</v>
      </c>
      <c r="I21" s="27" t="n">
        <v>7133117</v>
      </c>
      <c r="J21" s="27" t="n">
        <v>40</v>
      </c>
      <c r="K21" s="27" t="s">
        <v>30</v>
      </c>
      <c r="L21" s="27" t="s">
        <v>312</v>
      </c>
      <c r="M21" s="29" t="n">
        <v>45783</v>
      </c>
      <c r="N21" s="30" t="n">
        <f aca="false">INT((M21-D21)/365.25)</f>
        <v>26</v>
      </c>
      <c r="O21" s="28" t="s">
        <v>22</v>
      </c>
      <c r="P21" s="33" t="s">
        <v>304</v>
      </c>
    </row>
    <row r="22" customFormat="false" ht="15" hidden="false" customHeight="false" outlineLevel="0" collapsed="false">
      <c r="A22" s="23" t="n">
        <v>18</v>
      </c>
      <c r="B22" s="31" t="s">
        <v>290</v>
      </c>
      <c r="C22" s="27" t="s">
        <v>313</v>
      </c>
      <c r="D22" s="28" t="n">
        <v>35321</v>
      </c>
      <c r="E22" s="27"/>
      <c r="F22" s="27"/>
      <c r="G22" s="27" t="s">
        <v>314</v>
      </c>
      <c r="H22" s="27" t="n">
        <v>9587971</v>
      </c>
      <c r="I22" s="27" t="n">
        <v>1402774</v>
      </c>
      <c r="J22" s="27" t="n">
        <v>1412</v>
      </c>
      <c r="K22" s="27" t="s">
        <v>22</v>
      </c>
      <c r="L22" s="27" t="s">
        <v>312</v>
      </c>
      <c r="M22" s="29" t="n">
        <v>45784</v>
      </c>
      <c r="N22" s="30" t="n">
        <f aca="false">INT((M22-D22)/365.25)</f>
        <v>28</v>
      </c>
      <c r="O22" s="28" t="s">
        <v>22</v>
      </c>
      <c r="P22" s="33" t="s">
        <v>304</v>
      </c>
    </row>
    <row r="23" customFormat="false" ht="15" hidden="false" customHeight="false" outlineLevel="0" collapsed="false">
      <c r="A23" s="23" t="n">
        <v>19</v>
      </c>
      <c r="B23" s="31" t="s">
        <v>290</v>
      </c>
      <c r="C23" s="27" t="s">
        <v>315</v>
      </c>
      <c r="D23" s="28" t="n">
        <v>28648</v>
      </c>
      <c r="E23" s="27"/>
      <c r="F23" s="27"/>
      <c r="G23" s="27" t="s">
        <v>316</v>
      </c>
      <c r="H23" s="27" t="n">
        <v>6778279</v>
      </c>
      <c r="I23" s="27" t="n">
        <v>453028</v>
      </c>
      <c r="J23" s="27" t="n">
        <v>2414</v>
      </c>
      <c r="K23" s="27" t="s">
        <v>30</v>
      </c>
      <c r="L23" s="27" t="s">
        <v>312</v>
      </c>
      <c r="M23" s="29" t="n">
        <v>45785</v>
      </c>
      <c r="N23" s="30" t="n">
        <f aca="false">INT((M23-D23)/365.25)</f>
        <v>46</v>
      </c>
      <c r="O23" s="28" t="s">
        <v>22</v>
      </c>
      <c r="P23" s="33" t="s">
        <v>304</v>
      </c>
    </row>
    <row r="24" customFormat="false" ht="15" hidden="false" customHeight="false" outlineLevel="0" collapsed="false">
      <c r="A24" s="23" t="n">
        <v>20</v>
      </c>
      <c r="B24" s="31" t="s">
        <v>290</v>
      </c>
      <c r="C24" s="27" t="s">
        <v>317</v>
      </c>
      <c r="D24" s="28" t="n">
        <v>36683</v>
      </c>
      <c r="E24" s="27"/>
      <c r="F24" s="27"/>
      <c r="G24" s="27" t="s">
        <v>318</v>
      </c>
      <c r="H24" s="27" t="s">
        <v>319</v>
      </c>
      <c r="I24" s="27" t="n">
        <v>692747</v>
      </c>
      <c r="J24" s="27" t="n">
        <v>2304</v>
      </c>
      <c r="K24" s="27" t="s">
        <v>22</v>
      </c>
      <c r="L24" s="27" t="s">
        <v>312</v>
      </c>
      <c r="M24" s="29" t="n">
        <v>45785</v>
      </c>
      <c r="N24" s="30" t="n">
        <f aca="false">INT((M24-D24)/365.25)</f>
        <v>24</v>
      </c>
      <c r="O24" s="28" t="s">
        <v>22</v>
      </c>
      <c r="P24" s="33" t="s">
        <v>304</v>
      </c>
    </row>
    <row r="25" customFormat="false" ht="15" hidden="false" customHeight="false" outlineLevel="0" collapsed="false">
      <c r="A25" s="23" t="n">
        <v>21</v>
      </c>
      <c r="B25" s="31" t="s">
        <v>290</v>
      </c>
      <c r="C25" s="27" t="s">
        <v>320</v>
      </c>
      <c r="D25" s="28" t="n">
        <v>38285</v>
      </c>
      <c r="E25" s="27" t="s">
        <v>150</v>
      </c>
      <c r="F25" s="27" t="s">
        <v>151</v>
      </c>
      <c r="G25" s="27" t="s">
        <v>321</v>
      </c>
      <c r="H25" s="27" t="n">
        <v>11520960</v>
      </c>
      <c r="I25" s="27" t="n">
        <v>1550154</v>
      </c>
      <c r="J25" s="27" t="n">
        <v>8429</v>
      </c>
      <c r="K25" s="27" t="s">
        <v>30</v>
      </c>
      <c r="L25" s="27" t="s">
        <v>322</v>
      </c>
      <c r="M25" s="29" t="n">
        <v>45801</v>
      </c>
      <c r="N25" s="30" t="n">
        <f aca="false">INT((M25-D25)/365.25)</f>
        <v>20</v>
      </c>
      <c r="O25" s="28" t="s">
        <v>22</v>
      </c>
      <c r="P25" s="33" t="s">
        <v>323</v>
      </c>
    </row>
  </sheetData>
  <mergeCells count="1">
    <mergeCell ref="A1:O2"/>
  </mergeCells>
  <conditionalFormatting sqref="N5:N25">
    <cfRule type="colorScale" priority="2">
      <colorScale>
        <cfvo type="num" val="17"/>
        <cfvo type="num" val="18"/>
        <color rgb="FFFF0000"/>
        <color rgb="FF92D050"/>
      </colorScale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2" activeCellId="0" sqref="M12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.14"/>
    <col collapsed="false" customWidth="true" hidden="false" outlineLevel="0" max="3" min="3" style="0" width="31.86"/>
    <col collapsed="false" customWidth="true" hidden="false" outlineLevel="0" max="4" min="4" style="0" width="9.43"/>
    <col collapsed="false" customWidth="true" hidden="false" outlineLevel="0" max="5" min="5" style="0" width="14.57"/>
    <col collapsed="false" customWidth="true" hidden="false" outlineLevel="0" max="6" min="6" style="0" width="6.57"/>
    <col collapsed="false" customWidth="true" hidden="false" outlineLevel="0" max="7" min="7" style="0" width="11.86"/>
    <col collapsed="false" customWidth="true" hidden="false" outlineLevel="0" max="8" min="8" style="0" width="12.43"/>
    <col collapsed="false" customWidth="true" hidden="false" outlineLevel="0" max="9" min="9" style="0" width="7.15"/>
    <col collapsed="false" customWidth="true" hidden="false" outlineLevel="0" max="10" min="10" style="0" width="5.14"/>
    <col collapsed="false" customWidth="true" hidden="false" outlineLevel="0" max="11" min="11" style="0" width="5.43"/>
    <col collapsed="false" customWidth="true" hidden="false" outlineLevel="0" max="12" min="12" style="0" width="17.57"/>
    <col collapsed="false" customWidth="true" hidden="false" outlineLevel="0" max="13" min="13" style="0" width="9.14"/>
    <col collapsed="false" customWidth="true" hidden="false" outlineLevel="0" max="14" min="14" style="0" width="5.71"/>
    <col collapsed="false" customWidth="true" hidden="true" outlineLevel="0" max="15" min="15" style="0" width="7.57"/>
    <col collapsed="false" customWidth="true" hidden="false" outlineLevel="0" max="16" min="16" style="0" width="6.43"/>
    <col collapsed="false" customWidth="true" hidden="true" outlineLevel="0" max="17" min="17" style="0" width="12.86"/>
  </cols>
  <sheetData>
    <row r="1" customFormat="false" ht="15" hidden="false" customHeight="false" outlineLevel="0" collapsed="false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customFormat="false" ht="15" hidden="false" customHeight="false" outlineLevel="0" collapsed="false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customFormat="false" ht="15" hidden="false" customHeight="false" outlineLevel="0" collapsed="false">
      <c r="A3" s="19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20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16</v>
      </c>
    </row>
    <row r="4" customFormat="false" ht="15" hidden="false" customHeight="false" outlineLevel="0" collapsed="false">
      <c r="A4" s="21"/>
      <c r="B4" s="2"/>
      <c r="C4" s="6" t="s">
        <v>324</v>
      </c>
      <c r="D4" s="7"/>
      <c r="E4" s="2"/>
      <c r="F4" s="2"/>
      <c r="G4" s="2"/>
      <c r="H4" s="2"/>
      <c r="I4" s="2"/>
      <c r="J4" s="2"/>
      <c r="K4" s="2"/>
      <c r="L4" s="8"/>
      <c r="M4" s="22"/>
      <c r="N4" s="6"/>
      <c r="O4" s="6"/>
      <c r="P4" s="6"/>
    </row>
    <row r="5" customFormat="false" ht="15" hidden="false" customHeight="false" outlineLevel="0" collapsed="false">
      <c r="A5" s="23" t="n">
        <v>1</v>
      </c>
      <c r="B5" s="10" t="n">
        <v>866548</v>
      </c>
      <c r="C5" s="11" t="s">
        <v>325</v>
      </c>
      <c r="D5" s="12" t="n">
        <v>38574</v>
      </c>
      <c r="E5" s="11" t="s">
        <v>18</v>
      </c>
      <c r="F5" s="11" t="s">
        <v>19</v>
      </c>
      <c r="G5" s="11" t="s">
        <v>326</v>
      </c>
      <c r="H5" s="11" t="s">
        <v>327</v>
      </c>
      <c r="I5" s="11" t="n">
        <v>1103812</v>
      </c>
      <c r="J5" s="11" t="n">
        <v>7343</v>
      </c>
      <c r="K5" s="11" t="s">
        <v>22</v>
      </c>
      <c r="L5" s="11" t="s">
        <v>153</v>
      </c>
      <c r="M5" s="24" t="n">
        <v>45728</v>
      </c>
      <c r="N5" s="25" t="n">
        <f aca="false">INT((M5-D5)/365.25)</f>
        <v>19</v>
      </c>
      <c r="O5" s="12" t="s">
        <v>30</v>
      </c>
      <c r="P5" s="12" t="s">
        <v>22</v>
      </c>
    </row>
    <row r="6" customFormat="false" ht="12.75" hidden="false" customHeight="true" outlineLevel="0" collapsed="false">
      <c r="A6" s="23" t="n">
        <v>2</v>
      </c>
      <c r="B6" s="10" t="n">
        <v>855299</v>
      </c>
      <c r="C6" s="11" t="s">
        <v>328</v>
      </c>
      <c r="D6" s="12" t="n">
        <v>36964</v>
      </c>
      <c r="E6" s="11" t="s">
        <v>18</v>
      </c>
      <c r="F6" s="11" t="s">
        <v>19</v>
      </c>
      <c r="G6" s="11" t="s">
        <v>329</v>
      </c>
      <c r="H6" s="11" t="s">
        <v>330</v>
      </c>
      <c r="I6" s="11" t="n">
        <v>941981</v>
      </c>
      <c r="J6" s="11" t="n">
        <v>2316</v>
      </c>
      <c r="K6" s="11" t="s">
        <v>22</v>
      </c>
      <c r="L6" s="11" t="s">
        <v>153</v>
      </c>
      <c r="M6" s="24" t="n">
        <v>45728</v>
      </c>
      <c r="N6" s="25" t="n">
        <f aca="false">INT((M6-D6)/365.25)</f>
        <v>23</v>
      </c>
      <c r="O6" s="12" t="s">
        <v>30</v>
      </c>
      <c r="P6" s="12" t="s">
        <v>22</v>
      </c>
    </row>
    <row r="7" customFormat="false" ht="15" hidden="false" customHeight="false" outlineLevel="0" collapsed="false">
      <c r="A7" s="23" t="n">
        <v>3</v>
      </c>
      <c r="B7" s="11" t="n">
        <v>866555</v>
      </c>
      <c r="C7" s="11" t="s">
        <v>331</v>
      </c>
      <c r="D7" s="12" t="n">
        <v>38417</v>
      </c>
      <c r="E7" s="11" t="s">
        <v>18</v>
      </c>
      <c r="F7" s="11" t="s">
        <v>19</v>
      </c>
      <c r="G7" s="11" t="s">
        <v>332</v>
      </c>
      <c r="H7" s="11" t="s">
        <v>333</v>
      </c>
      <c r="I7" s="11" t="n">
        <v>1011237</v>
      </c>
      <c r="J7" s="11" t="n">
        <v>322</v>
      </c>
      <c r="K7" s="11" t="s">
        <v>22</v>
      </c>
      <c r="L7" s="11" t="s">
        <v>153</v>
      </c>
      <c r="M7" s="24" t="n">
        <v>45728</v>
      </c>
      <c r="N7" s="25" t="n">
        <f aca="false">INT((M7-D7)/365.25)</f>
        <v>20</v>
      </c>
      <c r="O7" s="12" t="s">
        <v>30</v>
      </c>
      <c r="P7" s="12" t="s">
        <v>22</v>
      </c>
    </row>
    <row r="8" customFormat="false" ht="15" hidden="false" customHeight="false" outlineLevel="0" collapsed="false">
      <c r="A8" s="23" t="n">
        <v>4</v>
      </c>
      <c r="B8" s="11" t="n">
        <v>845407</v>
      </c>
      <c r="C8" s="11" t="s">
        <v>334</v>
      </c>
      <c r="D8" s="12" t="n">
        <v>37837</v>
      </c>
      <c r="E8" s="11" t="s">
        <v>18</v>
      </c>
      <c r="F8" s="11" t="s">
        <v>19</v>
      </c>
      <c r="G8" s="11" t="s">
        <v>335</v>
      </c>
      <c r="H8" s="11" t="s">
        <v>336</v>
      </c>
      <c r="I8" s="11" t="n">
        <v>6156475</v>
      </c>
      <c r="J8" s="11" t="n">
        <v>60</v>
      </c>
      <c r="K8" s="11" t="s">
        <v>22</v>
      </c>
      <c r="L8" s="11" t="s">
        <v>153</v>
      </c>
      <c r="M8" s="24" t="n">
        <v>45728</v>
      </c>
      <c r="N8" s="25" t="n">
        <f aca="false">INT((M8-D8)/365.25)</f>
        <v>21</v>
      </c>
      <c r="O8" s="12" t="s">
        <v>30</v>
      </c>
      <c r="P8" s="12" t="s">
        <v>22</v>
      </c>
    </row>
    <row r="9" customFormat="false" ht="15" hidden="false" customHeight="false" outlineLevel="0" collapsed="false">
      <c r="A9" s="23" t="n">
        <v>5</v>
      </c>
      <c r="B9" s="11" t="n">
        <v>866353</v>
      </c>
      <c r="C9" s="11" t="s">
        <v>337</v>
      </c>
      <c r="D9" s="12" t="n">
        <v>34054</v>
      </c>
      <c r="E9" s="11" t="s">
        <v>18</v>
      </c>
      <c r="F9" s="11" t="s">
        <v>19</v>
      </c>
      <c r="G9" s="11" t="s">
        <v>338</v>
      </c>
      <c r="H9" s="11" t="s">
        <v>339</v>
      </c>
      <c r="I9" s="11" t="n">
        <v>877156</v>
      </c>
      <c r="J9" s="11" t="n">
        <v>1315</v>
      </c>
      <c r="K9" s="11" t="s">
        <v>22</v>
      </c>
      <c r="L9" s="11" t="s">
        <v>153</v>
      </c>
      <c r="M9" s="24" t="n">
        <v>45728</v>
      </c>
      <c r="N9" s="25" t="n">
        <f aca="false">INT((M9-D9)/365.25)</f>
        <v>31</v>
      </c>
      <c r="O9" s="12" t="s">
        <v>30</v>
      </c>
      <c r="P9" s="12" t="s">
        <v>22</v>
      </c>
    </row>
    <row r="10" customFormat="false" ht="15" hidden="false" customHeight="false" outlineLevel="0" collapsed="false">
      <c r="A10" s="23" t="n">
        <v>6</v>
      </c>
      <c r="B10" s="11" t="n">
        <v>866354</v>
      </c>
      <c r="C10" s="11" t="s">
        <v>340</v>
      </c>
      <c r="D10" s="12" t="n">
        <v>36636</v>
      </c>
      <c r="E10" s="11" t="s">
        <v>18</v>
      </c>
      <c r="F10" s="11" t="s">
        <v>19</v>
      </c>
      <c r="G10" s="11" t="s">
        <v>341</v>
      </c>
      <c r="H10" s="11" t="s">
        <v>342</v>
      </c>
      <c r="I10" s="11" t="n">
        <v>5482667</v>
      </c>
      <c r="J10" s="11" t="n">
        <v>3833</v>
      </c>
      <c r="K10" s="11" t="s">
        <v>22</v>
      </c>
      <c r="L10" s="11" t="s">
        <v>153</v>
      </c>
      <c r="M10" s="24" t="n">
        <v>45728</v>
      </c>
      <c r="N10" s="25" t="n">
        <f aca="false">INT((M10-D10)/365.25)</f>
        <v>24</v>
      </c>
      <c r="O10" s="12" t="s">
        <v>30</v>
      </c>
      <c r="P10" s="12" t="s">
        <v>22</v>
      </c>
    </row>
    <row r="11" customFormat="false" ht="15" hidden="false" customHeight="false" outlineLevel="0" collapsed="false">
      <c r="A11" s="23" t="n">
        <v>7</v>
      </c>
      <c r="B11" s="11" t="n">
        <v>588100</v>
      </c>
      <c r="C11" s="11" t="s">
        <v>343</v>
      </c>
      <c r="D11" s="12" t="n">
        <v>35175</v>
      </c>
      <c r="E11" s="11" t="s">
        <v>18</v>
      </c>
      <c r="F11" s="11" t="s">
        <v>19</v>
      </c>
      <c r="G11" s="11" t="s">
        <v>344</v>
      </c>
      <c r="H11" s="11" t="s">
        <v>345</v>
      </c>
      <c r="I11" s="11" t="n">
        <v>61145</v>
      </c>
      <c r="J11" s="11" t="n">
        <v>386</v>
      </c>
      <c r="K11" s="11" t="s">
        <v>22</v>
      </c>
      <c r="L11" s="11" t="s">
        <v>153</v>
      </c>
      <c r="M11" s="24" t="n">
        <v>45728</v>
      </c>
      <c r="N11" s="25" t="n">
        <f aca="false">INT((M11-D11)/365.25)</f>
        <v>28</v>
      </c>
      <c r="O11" s="12" t="s">
        <v>30</v>
      </c>
      <c r="P11" s="12" t="s">
        <v>22</v>
      </c>
    </row>
    <row r="12" customFormat="false" ht="15" hidden="false" customHeight="false" outlineLevel="0" collapsed="false">
      <c r="A12" s="23" t="n">
        <v>8</v>
      </c>
      <c r="B12" s="11" t="n">
        <v>865607</v>
      </c>
      <c r="C12" s="11" t="s">
        <v>346</v>
      </c>
      <c r="D12" s="12" t="n">
        <v>34831</v>
      </c>
      <c r="E12" s="11" t="s">
        <v>18</v>
      </c>
      <c r="F12" s="11" t="s">
        <v>19</v>
      </c>
      <c r="G12" s="11" t="s">
        <v>347</v>
      </c>
      <c r="H12" s="11" t="s">
        <v>348</v>
      </c>
      <c r="I12" s="11" t="n">
        <v>838467</v>
      </c>
      <c r="J12" s="11" t="n">
        <v>1303</v>
      </c>
      <c r="K12" s="11" t="s">
        <v>22</v>
      </c>
      <c r="L12" s="11" t="s">
        <v>153</v>
      </c>
      <c r="M12" s="24" t="n">
        <v>45728</v>
      </c>
      <c r="N12" s="25" t="n">
        <f aca="false">INT((M12-D12)/365.25)</f>
        <v>29</v>
      </c>
      <c r="O12" s="12" t="s">
        <v>30</v>
      </c>
      <c r="P12" s="12" t="s">
        <v>22</v>
      </c>
    </row>
    <row r="13" customFormat="false" ht="15" hidden="false" customHeight="false" outlineLevel="0" collapsed="false">
      <c r="A13" s="23" t="n">
        <v>9</v>
      </c>
      <c r="B13" s="11" t="n">
        <v>855288</v>
      </c>
      <c r="C13" s="11" t="s">
        <v>349</v>
      </c>
      <c r="D13" s="12" t="n">
        <v>31372</v>
      </c>
      <c r="E13" s="11" t="s">
        <v>18</v>
      </c>
      <c r="F13" s="11" t="s">
        <v>19</v>
      </c>
      <c r="G13" s="11" t="s">
        <v>350</v>
      </c>
      <c r="H13" s="11" t="s">
        <v>351</v>
      </c>
      <c r="I13" s="11" t="n">
        <v>343406</v>
      </c>
      <c r="J13" s="11" t="n">
        <v>4389</v>
      </c>
      <c r="K13" s="11" t="s">
        <v>22</v>
      </c>
      <c r="L13" s="11" t="s">
        <v>153</v>
      </c>
      <c r="M13" s="24" t="n">
        <v>45728</v>
      </c>
      <c r="N13" s="25" t="n">
        <f aca="false">INT((M13-D13)/365.25)</f>
        <v>39</v>
      </c>
      <c r="O13" s="12" t="s">
        <v>30</v>
      </c>
      <c r="P13" s="12" t="s">
        <v>22</v>
      </c>
    </row>
    <row r="14" customFormat="false" ht="15" hidden="false" customHeight="false" outlineLevel="0" collapsed="false">
      <c r="A14" s="23" t="n">
        <v>10</v>
      </c>
      <c r="B14" s="11" t="n">
        <v>845144</v>
      </c>
      <c r="C14" s="11" t="s">
        <v>352</v>
      </c>
      <c r="D14" s="12" t="n">
        <v>29395</v>
      </c>
      <c r="E14" s="11" t="s">
        <v>18</v>
      </c>
      <c r="F14" s="11" t="s">
        <v>19</v>
      </c>
      <c r="G14" s="11" t="s">
        <v>353</v>
      </c>
      <c r="H14" s="11" t="s">
        <v>354</v>
      </c>
      <c r="I14" s="11" t="n">
        <v>9730912</v>
      </c>
      <c r="J14" s="11" t="n">
        <v>4372</v>
      </c>
      <c r="K14" s="11" t="s">
        <v>22</v>
      </c>
      <c r="L14" s="11" t="s">
        <v>153</v>
      </c>
      <c r="M14" s="24" t="n">
        <v>45728</v>
      </c>
      <c r="N14" s="25" t="n">
        <f aca="false">INT((M14-D14)/365.25)</f>
        <v>44</v>
      </c>
      <c r="O14" s="12" t="s">
        <v>30</v>
      </c>
      <c r="P14" s="12" t="s">
        <v>22</v>
      </c>
    </row>
    <row r="15" customFormat="false" ht="15" hidden="false" customHeight="false" outlineLevel="0" collapsed="false">
      <c r="A15" s="23" t="n">
        <v>11</v>
      </c>
      <c r="B15" s="11" t="n">
        <v>856048</v>
      </c>
      <c r="C15" s="11" t="s">
        <v>355</v>
      </c>
      <c r="D15" s="12" t="n">
        <v>34447</v>
      </c>
      <c r="E15" s="11" t="s">
        <v>18</v>
      </c>
      <c r="F15" s="11" t="s">
        <v>19</v>
      </c>
      <c r="G15" s="11" t="s">
        <v>356</v>
      </c>
      <c r="H15" s="11" t="s">
        <v>357</v>
      </c>
      <c r="I15" s="11" t="n">
        <v>4240</v>
      </c>
      <c r="J15" s="11" t="n">
        <v>376</v>
      </c>
      <c r="K15" s="11" t="s">
        <v>22</v>
      </c>
      <c r="L15" s="11" t="s">
        <v>153</v>
      </c>
      <c r="M15" s="24" t="n">
        <v>45728</v>
      </c>
      <c r="N15" s="25" t="n">
        <f aca="false">INT((M15-D15)/365.25)</f>
        <v>30</v>
      </c>
      <c r="O15" s="12" t="s">
        <v>30</v>
      </c>
      <c r="P15" s="12" t="s">
        <v>22</v>
      </c>
    </row>
    <row r="16" customFormat="false" ht="15" hidden="false" customHeight="false" outlineLevel="0" collapsed="false">
      <c r="A16" s="23" t="n">
        <v>12</v>
      </c>
      <c r="B16" s="11" t="n">
        <v>866356</v>
      </c>
      <c r="C16" s="11" t="s">
        <v>358</v>
      </c>
      <c r="D16" s="12" t="n">
        <v>32797</v>
      </c>
      <c r="E16" s="11" t="s">
        <v>18</v>
      </c>
      <c r="F16" s="11" t="s">
        <v>19</v>
      </c>
      <c r="G16" s="11" t="s">
        <v>359</v>
      </c>
      <c r="H16" s="11" t="s">
        <v>360</v>
      </c>
      <c r="I16" s="11" t="n">
        <v>5105488</v>
      </c>
      <c r="J16" s="11" t="n">
        <v>50</v>
      </c>
      <c r="K16" s="11" t="s">
        <v>22</v>
      </c>
      <c r="L16" s="11" t="s">
        <v>153</v>
      </c>
      <c r="M16" s="24" t="n">
        <v>45728</v>
      </c>
      <c r="N16" s="25" t="n">
        <f aca="false">INT((M16-D16)/365.25)</f>
        <v>35</v>
      </c>
      <c r="O16" s="12" t="s">
        <v>30</v>
      </c>
      <c r="P16" s="12" t="s">
        <v>22</v>
      </c>
    </row>
    <row r="17" customFormat="false" ht="15" hidden="false" customHeight="false" outlineLevel="0" collapsed="false">
      <c r="A17" s="23" t="n">
        <v>13</v>
      </c>
      <c r="B17" s="11" t="n">
        <v>866551</v>
      </c>
      <c r="C17" s="11" t="s">
        <v>361</v>
      </c>
      <c r="D17" s="12" t="n">
        <v>33987</v>
      </c>
      <c r="E17" s="11" t="s">
        <v>18</v>
      </c>
      <c r="F17" s="11" t="s">
        <v>19</v>
      </c>
      <c r="G17" s="11" t="s">
        <v>362</v>
      </c>
      <c r="H17" s="11" t="n">
        <v>2008011877</v>
      </c>
      <c r="I17" s="11" t="n">
        <v>7133140</v>
      </c>
      <c r="J17" s="11" t="n">
        <v>30</v>
      </c>
      <c r="K17" s="11" t="s">
        <v>22</v>
      </c>
      <c r="L17" s="11" t="s">
        <v>153</v>
      </c>
      <c r="M17" s="24" t="n">
        <v>45728</v>
      </c>
      <c r="N17" s="25" t="n">
        <f aca="false">INT((M17-D17)/365.25)</f>
        <v>32</v>
      </c>
      <c r="O17" s="12" t="s">
        <v>30</v>
      </c>
      <c r="P17" s="12" t="s">
        <v>22</v>
      </c>
    </row>
    <row r="18" customFormat="false" ht="15" hidden="false" customHeight="false" outlineLevel="0" collapsed="false">
      <c r="A18" s="23" t="n">
        <v>14</v>
      </c>
      <c r="B18" s="11" t="n">
        <v>820448</v>
      </c>
      <c r="C18" s="11" t="s">
        <v>363</v>
      </c>
      <c r="D18" s="12" t="n">
        <v>36746</v>
      </c>
      <c r="E18" s="11" t="s">
        <v>18</v>
      </c>
      <c r="F18" s="11" t="s">
        <v>19</v>
      </c>
      <c r="G18" s="11" t="s">
        <v>364</v>
      </c>
      <c r="H18" s="11" t="s">
        <v>365</v>
      </c>
      <c r="I18" s="11" t="n">
        <v>880005</v>
      </c>
      <c r="J18" s="11" t="n">
        <v>5303</v>
      </c>
      <c r="K18" s="11" t="s">
        <v>22</v>
      </c>
      <c r="L18" s="11" t="s">
        <v>153</v>
      </c>
      <c r="M18" s="24" t="n">
        <v>45728</v>
      </c>
      <c r="N18" s="25" t="n">
        <f aca="false">INT((M18-D18)/365.25)</f>
        <v>24</v>
      </c>
      <c r="O18" s="12" t="s">
        <v>30</v>
      </c>
      <c r="P18" s="12" t="s">
        <v>22</v>
      </c>
    </row>
    <row r="19" customFormat="false" ht="15" hidden="false" customHeight="false" outlineLevel="0" collapsed="false">
      <c r="A19" s="23" t="n">
        <v>15</v>
      </c>
      <c r="B19" s="11" t="n">
        <v>866357</v>
      </c>
      <c r="C19" s="11" t="s">
        <v>366</v>
      </c>
      <c r="D19" s="12" t="n">
        <v>30665</v>
      </c>
      <c r="E19" s="11" t="s">
        <v>18</v>
      </c>
      <c r="F19" s="11" t="s">
        <v>19</v>
      </c>
      <c r="G19" s="11" t="s">
        <v>367</v>
      </c>
      <c r="H19" s="11" t="s">
        <v>368</v>
      </c>
      <c r="I19" s="11" t="n">
        <v>2884615</v>
      </c>
      <c r="J19" s="11" t="s">
        <v>369</v>
      </c>
      <c r="K19" s="11" t="s">
        <v>30</v>
      </c>
      <c r="L19" s="11" t="s">
        <v>153</v>
      </c>
      <c r="M19" s="24" t="n">
        <v>45728</v>
      </c>
      <c r="N19" s="25" t="n">
        <f aca="false">INT((M19-D19)/365.25)</f>
        <v>41</v>
      </c>
      <c r="O19" s="12" t="s">
        <v>30</v>
      </c>
      <c r="P19" s="12" t="s">
        <v>22</v>
      </c>
    </row>
    <row r="20" customFormat="false" ht="15" hidden="false" customHeight="false" outlineLevel="0" collapsed="false">
      <c r="A20" s="23" t="n">
        <v>16</v>
      </c>
      <c r="B20" s="11" t="n">
        <v>851975</v>
      </c>
      <c r="C20" s="11" t="s">
        <v>370</v>
      </c>
      <c r="D20" s="12" t="n">
        <v>34958</v>
      </c>
      <c r="E20" s="11" t="s">
        <v>18</v>
      </c>
      <c r="F20" s="11" t="s">
        <v>19</v>
      </c>
      <c r="G20" s="11" t="s">
        <v>371</v>
      </c>
      <c r="H20" s="11" t="s">
        <v>372</v>
      </c>
      <c r="I20" s="11" t="n">
        <v>6059266</v>
      </c>
      <c r="J20" s="11" t="n">
        <v>7383</v>
      </c>
      <c r="K20" s="11" t="s">
        <v>22</v>
      </c>
      <c r="L20" s="11" t="s">
        <v>153</v>
      </c>
      <c r="M20" s="24" t="n">
        <v>45728</v>
      </c>
      <c r="N20" s="25" t="n">
        <f aca="false">INT((M20-D20)/365.25)</f>
        <v>29</v>
      </c>
      <c r="O20" s="12" t="s">
        <v>30</v>
      </c>
      <c r="P20" s="12" t="s">
        <v>22</v>
      </c>
    </row>
    <row r="21" customFormat="false" ht="15" hidden="false" customHeight="false" outlineLevel="0" collapsed="false">
      <c r="A21" s="23" t="n">
        <v>17</v>
      </c>
      <c r="B21" s="11" t="n">
        <v>866359</v>
      </c>
      <c r="C21" s="11" t="s">
        <v>373</v>
      </c>
      <c r="D21" s="12" t="n">
        <v>34796</v>
      </c>
      <c r="E21" s="11" t="s">
        <v>18</v>
      </c>
      <c r="F21" s="11" t="s">
        <v>19</v>
      </c>
      <c r="G21" s="11" t="s">
        <v>374</v>
      </c>
      <c r="H21" s="11" t="s">
        <v>375</v>
      </c>
      <c r="I21" s="11" t="n">
        <v>706177</v>
      </c>
      <c r="J21" s="11" t="n">
        <v>376</v>
      </c>
      <c r="K21" s="11" t="s">
        <v>22</v>
      </c>
      <c r="L21" s="11" t="s">
        <v>153</v>
      </c>
      <c r="M21" s="24" t="n">
        <v>45728</v>
      </c>
      <c r="N21" s="25" t="n">
        <f aca="false">INT((M21-D21)/365.25)</f>
        <v>29</v>
      </c>
      <c r="O21" s="12" t="s">
        <v>30</v>
      </c>
      <c r="P21" s="12" t="s">
        <v>22</v>
      </c>
    </row>
    <row r="22" customFormat="false" ht="15" hidden="false" customHeight="false" outlineLevel="0" collapsed="false">
      <c r="A22" s="23" t="n">
        <v>18</v>
      </c>
      <c r="B22" s="11" t="n">
        <v>830439</v>
      </c>
      <c r="C22" s="11" t="s">
        <v>376</v>
      </c>
      <c r="D22" s="12" t="n">
        <v>37025</v>
      </c>
      <c r="E22" s="11" t="s">
        <v>18</v>
      </c>
      <c r="F22" s="11" t="s">
        <v>19</v>
      </c>
      <c r="G22" s="11" t="s">
        <v>377</v>
      </c>
      <c r="H22" s="11" t="s">
        <v>378</v>
      </c>
      <c r="I22" s="11" t="n">
        <v>918858</v>
      </c>
      <c r="J22" s="11" t="n">
        <v>5344</v>
      </c>
      <c r="K22" s="11" t="s">
        <v>22</v>
      </c>
      <c r="L22" s="11" t="s">
        <v>153</v>
      </c>
      <c r="M22" s="24" t="n">
        <v>45728</v>
      </c>
      <c r="N22" s="25" t="n">
        <f aca="false">INT((M22-D22)/365.25)</f>
        <v>23</v>
      </c>
      <c r="O22" s="12" t="s">
        <v>30</v>
      </c>
      <c r="P22" s="12" t="s">
        <v>22</v>
      </c>
    </row>
    <row r="23" customFormat="false" ht="15" hidden="false" customHeight="false" outlineLevel="0" collapsed="false">
      <c r="A23" s="23" t="n">
        <v>19</v>
      </c>
      <c r="B23" s="11" t="n">
        <v>633230</v>
      </c>
      <c r="C23" s="11" t="s">
        <v>379</v>
      </c>
      <c r="D23" s="12" t="n">
        <v>31994</v>
      </c>
      <c r="E23" s="11" t="s">
        <v>18</v>
      </c>
      <c r="F23" s="11" t="s">
        <v>19</v>
      </c>
      <c r="G23" s="11" t="s">
        <v>380</v>
      </c>
      <c r="H23" s="11" t="s">
        <v>381</v>
      </c>
      <c r="I23" s="11" t="n">
        <v>17555</v>
      </c>
      <c r="J23" s="11" t="n">
        <v>58</v>
      </c>
      <c r="K23" s="11" t="s">
        <v>22</v>
      </c>
      <c r="L23" s="11" t="s">
        <v>153</v>
      </c>
      <c r="M23" s="24" t="n">
        <v>45728</v>
      </c>
      <c r="N23" s="25" t="n">
        <f aca="false">INT((M23-D23)/365.25)</f>
        <v>37</v>
      </c>
      <c r="O23" s="12" t="s">
        <v>30</v>
      </c>
      <c r="P23" s="12" t="s">
        <v>22</v>
      </c>
    </row>
    <row r="24" customFormat="false" ht="15" hidden="false" customHeight="false" outlineLevel="0" collapsed="false">
      <c r="A24" s="23" t="n">
        <v>20</v>
      </c>
      <c r="B24" s="11" t="n">
        <v>866360</v>
      </c>
      <c r="C24" s="11" t="s">
        <v>382</v>
      </c>
      <c r="D24" s="12" t="n">
        <v>39017</v>
      </c>
      <c r="E24" s="11" t="s">
        <v>18</v>
      </c>
      <c r="F24" s="11" t="s">
        <v>19</v>
      </c>
      <c r="G24" s="11" t="s">
        <v>383</v>
      </c>
      <c r="H24" s="11" t="s">
        <v>384</v>
      </c>
      <c r="I24" s="11" t="n">
        <v>940124</v>
      </c>
      <c r="J24" s="11" t="n">
        <v>9393</v>
      </c>
      <c r="K24" s="11" t="s">
        <v>22</v>
      </c>
      <c r="L24" s="11" t="s">
        <v>153</v>
      </c>
      <c r="M24" s="24" t="n">
        <v>45728</v>
      </c>
      <c r="N24" s="25" t="n">
        <f aca="false">INT((M24-D24)/365.25)</f>
        <v>18</v>
      </c>
      <c r="O24" s="12" t="s">
        <v>30</v>
      </c>
      <c r="P24" s="12" t="s">
        <v>22</v>
      </c>
      <c r="Q24" s="0" t="s">
        <v>385</v>
      </c>
    </row>
    <row r="25" customFormat="false" ht="15" hidden="false" customHeight="false" outlineLevel="0" collapsed="false">
      <c r="A25" s="23" t="n">
        <v>21</v>
      </c>
      <c r="B25" s="11" t="n">
        <v>820486</v>
      </c>
      <c r="C25" s="11" t="s">
        <v>386</v>
      </c>
      <c r="D25" s="12" t="n">
        <v>34697</v>
      </c>
      <c r="E25" s="11" t="s">
        <v>18</v>
      </c>
      <c r="F25" s="11" t="s">
        <v>19</v>
      </c>
      <c r="G25" s="11" t="s">
        <v>387</v>
      </c>
      <c r="H25" s="11" t="s">
        <v>388</v>
      </c>
      <c r="I25" s="11" t="n">
        <v>6130094</v>
      </c>
      <c r="J25" s="11" t="n">
        <v>3378</v>
      </c>
      <c r="K25" s="11" t="s">
        <v>22</v>
      </c>
      <c r="L25" s="11" t="s">
        <v>153</v>
      </c>
      <c r="M25" s="24" t="n">
        <v>45728</v>
      </c>
      <c r="N25" s="25" t="n">
        <f aca="false">INT((M25-D25)/365.25)</f>
        <v>30</v>
      </c>
      <c r="O25" s="12" t="s">
        <v>30</v>
      </c>
      <c r="P25" s="12" t="s">
        <v>22</v>
      </c>
    </row>
    <row r="26" customFormat="false" ht="15" hidden="false" customHeight="false" outlineLevel="0" collapsed="false">
      <c r="A26" s="23" t="n">
        <v>22</v>
      </c>
      <c r="B26" s="11" t="n">
        <v>866363</v>
      </c>
      <c r="C26" s="11" t="s">
        <v>389</v>
      </c>
      <c r="D26" s="12" t="n">
        <v>28781</v>
      </c>
      <c r="E26" s="11" t="s">
        <v>18</v>
      </c>
      <c r="F26" s="11" t="s">
        <v>19</v>
      </c>
      <c r="G26" s="11" t="s">
        <v>390</v>
      </c>
      <c r="H26" s="11" t="s">
        <v>391</v>
      </c>
      <c r="I26" s="11" t="n">
        <v>9113022</v>
      </c>
      <c r="J26" s="11" t="n">
        <v>320</v>
      </c>
      <c r="K26" s="11" t="s">
        <v>22</v>
      </c>
      <c r="L26" s="11" t="s">
        <v>153</v>
      </c>
      <c r="M26" s="24" t="n">
        <v>45728</v>
      </c>
      <c r="N26" s="25" t="n">
        <f aca="false">INT((M26-D26)/365.25)</f>
        <v>46</v>
      </c>
      <c r="O26" s="12" t="s">
        <v>30</v>
      </c>
      <c r="P26" s="12" t="s">
        <v>22</v>
      </c>
    </row>
    <row r="27" customFormat="false" ht="15" hidden="false" customHeight="false" outlineLevel="0" collapsed="false">
      <c r="A27" s="23" t="n">
        <v>23</v>
      </c>
      <c r="B27" s="11" t="n">
        <v>866364</v>
      </c>
      <c r="C27" s="11" t="s">
        <v>392</v>
      </c>
      <c r="D27" s="12" t="n">
        <v>38573</v>
      </c>
      <c r="E27" s="11" t="s">
        <v>18</v>
      </c>
      <c r="F27" s="11" t="s">
        <v>19</v>
      </c>
      <c r="G27" s="11" t="s">
        <v>393</v>
      </c>
      <c r="H27" s="11" t="s">
        <v>394</v>
      </c>
      <c r="I27" s="11" t="n">
        <v>1153678</v>
      </c>
      <c r="J27" s="11" t="n">
        <v>3307</v>
      </c>
      <c r="K27" s="11" t="s">
        <v>22</v>
      </c>
      <c r="L27" s="11" t="s">
        <v>153</v>
      </c>
      <c r="M27" s="24" t="n">
        <v>45728</v>
      </c>
      <c r="N27" s="25" t="n">
        <f aca="false">INT((M27-D27)/365.25)</f>
        <v>19</v>
      </c>
      <c r="O27" s="12" t="s">
        <v>30</v>
      </c>
      <c r="P27" s="12" t="s">
        <v>22</v>
      </c>
    </row>
    <row r="28" customFormat="false" ht="15" hidden="false" customHeight="false" outlineLevel="0" collapsed="false">
      <c r="A28" s="23" t="n">
        <v>24</v>
      </c>
      <c r="B28" s="11" t="n">
        <v>851388</v>
      </c>
      <c r="C28" s="11" t="s">
        <v>395</v>
      </c>
      <c r="D28" s="12" t="n">
        <v>29345</v>
      </c>
      <c r="E28" s="11" t="s">
        <v>18</v>
      </c>
      <c r="F28" s="11" t="s">
        <v>19</v>
      </c>
      <c r="G28" s="11" t="s">
        <v>396</v>
      </c>
      <c r="H28" s="11" t="s">
        <v>397</v>
      </c>
      <c r="I28" s="11" t="n">
        <v>6244163</v>
      </c>
      <c r="J28" s="11" t="n">
        <v>369</v>
      </c>
      <c r="K28" s="11" t="s">
        <v>22</v>
      </c>
      <c r="L28" s="11" t="s">
        <v>153</v>
      </c>
      <c r="M28" s="24" t="n">
        <v>45728</v>
      </c>
      <c r="N28" s="25" t="n">
        <f aca="false">INT((M28-D28)/365.25)</f>
        <v>44</v>
      </c>
      <c r="O28" s="12" t="s">
        <v>30</v>
      </c>
      <c r="P28" s="12" t="s">
        <v>22</v>
      </c>
    </row>
    <row r="29" customFormat="false" ht="15" hidden="false" customHeight="false" outlineLevel="0" collapsed="false">
      <c r="A29" s="23" t="n">
        <v>25</v>
      </c>
      <c r="B29" s="11" t="n">
        <v>866367</v>
      </c>
      <c r="C29" s="11" t="s">
        <v>398</v>
      </c>
      <c r="D29" s="12" t="n">
        <v>37973</v>
      </c>
      <c r="E29" s="11" t="s">
        <v>18</v>
      </c>
      <c r="F29" s="11" t="s">
        <v>19</v>
      </c>
      <c r="G29" s="11" t="s">
        <v>399</v>
      </c>
      <c r="H29" s="15" t="s">
        <v>400</v>
      </c>
      <c r="I29" s="11" t="n">
        <v>933159</v>
      </c>
      <c r="J29" s="11" t="n">
        <v>3317</v>
      </c>
      <c r="K29" s="11" t="s">
        <v>22</v>
      </c>
      <c r="L29" s="11" t="s">
        <v>153</v>
      </c>
      <c r="M29" s="24" t="n">
        <v>45728</v>
      </c>
      <c r="N29" s="25" t="n">
        <f aca="false">INT((M29-D29)/365.25)</f>
        <v>21</v>
      </c>
      <c r="O29" s="12" t="s">
        <v>30</v>
      </c>
      <c r="P29" s="12" t="s">
        <v>22</v>
      </c>
    </row>
    <row r="30" customFormat="false" ht="15" hidden="false" customHeight="false" outlineLevel="0" collapsed="false">
      <c r="A30" s="23" t="n">
        <v>26</v>
      </c>
      <c r="B30" s="11" t="n">
        <v>633225</v>
      </c>
      <c r="C30" s="11" t="s">
        <v>401</v>
      </c>
      <c r="D30" s="12" t="n">
        <v>31622</v>
      </c>
      <c r="E30" s="11" t="s">
        <v>18</v>
      </c>
      <c r="F30" s="11" t="s">
        <v>19</v>
      </c>
      <c r="G30" s="11" t="s">
        <v>402</v>
      </c>
      <c r="H30" s="11" t="s">
        <v>403</v>
      </c>
      <c r="I30" s="11" t="n">
        <v>80720</v>
      </c>
      <c r="J30" s="11" t="n">
        <v>56</v>
      </c>
      <c r="K30" s="11" t="s">
        <v>22</v>
      </c>
      <c r="L30" s="11" t="s">
        <v>153</v>
      </c>
      <c r="M30" s="24" t="n">
        <v>45728</v>
      </c>
      <c r="N30" s="25" t="n">
        <f aca="false">INT((M30-D30)/365.25)</f>
        <v>38</v>
      </c>
      <c r="O30" s="12" t="s">
        <v>30</v>
      </c>
      <c r="P30" s="12" t="s">
        <v>22</v>
      </c>
    </row>
    <row r="31" customFormat="false" ht="15" hidden="false" customHeight="false" outlineLevel="0" collapsed="false">
      <c r="A31" s="23" t="n">
        <v>27</v>
      </c>
      <c r="B31" s="11" t="n">
        <v>866550</v>
      </c>
      <c r="C31" s="11" t="s">
        <v>404</v>
      </c>
      <c r="D31" s="12" t="n">
        <v>38215</v>
      </c>
      <c r="E31" s="11" t="s">
        <v>18</v>
      </c>
      <c r="F31" s="11" t="s">
        <v>19</v>
      </c>
      <c r="G31" s="11" t="s">
        <v>405</v>
      </c>
      <c r="H31" s="11" t="s">
        <v>406</v>
      </c>
      <c r="I31" s="11" t="n">
        <v>1115028</v>
      </c>
      <c r="J31" s="11" t="n">
        <v>301</v>
      </c>
      <c r="K31" s="11" t="s">
        <v>22</v>
      </c>
      <c r="L31" s="11" t="s">
        <v>153</v>
      </c>
      <c r="M31" s="24" t="n">
        <v>45728</v>
      </c>
      <c r="N31" s="25" t="n">
        <f aca="false">INT((M31-D31)/365.25)</f>
        <v>20</v>
      </c>
      <c r="O31" s="12" t="s">
        <v>30</v>
      </c>
      <c r="P31" s="12" t="s">
        <v>22</v>
      </c>
    </row>
    <row r="32" customFormat="false" ht="15" hidden="false" customHeight="false" outlineLevel="0" collapsed="false">
      <c r="A32" s="23" t="n">
        <v>28</v>
      </c>
      <c r="B32" s="11" t="n">
        <v>856169</v>
      </c>
      <c r="C32" s="11" t="s">
        <v>407</v>
      </c>
      <c r="D32" s="12" t="n">
        <v>36146</v>
      </c>
      <c r="E32" s="11" t="s">
        <v>18</v>
      </c>
      <c r="F32" s="11" t="s">
        <v>19</v>
      </c>
      <c r="G32" s="11" t="s">
        <v>408</v>
      </c>
      <c r="H32" s="11" t="s">
        <v>409</v>
      </c>
      <c r="I32" s="11" t="n">
        <v>6390814</v>
      </c>
      <c r="J32" s="11" t="n">
        <v>6313</v>
      </c>
      <c r="K32" s="11" t="s">
        <v>22</v>
      </c>
      <c r="L32" s="11" t="s">
        <v>153</v>
      </c>
      <c r="M32" s="24" t="n">
        <v>45728</v>
      </c>
      <c r="N32" s="25" t="n">
        <f aca="false">INT((M32-D32)/365.25)</f>
        <v>26</v>
      </c>
      <c r="O32" s="12" t="s">
        <v>30</v>
      </c>
      <c r="P32" s="12" t="s">
        <v>22</v>
      </c>
    </row>
    <row r="33" customFormat="false" ht="15" hidden="false" customHeight="false" outlineLevel="0" collapsed="false">
      <c r="A33" s="23" t="n">
        <v>29</v>
      </c>
      <c r="B33" s="11" t="n">
        <v>851784</v>
      </c>
      <c r="C33" s="11" t="s">
        <v>410</v>
      </c>
      <c r="D33" s="12" t="n">
        <v>36771</v>
      </c>
      <c r="E33" s="11" t="s">
        <v>18</v>
      </c>
      <c r="F33" s="11" t="s">
        <v>19</v>
      </c>
      <c r="G33" s="11" t="s">
        <v>411</v>
      </c>
      <c r="H33" s="11" t="s">
        <v>412</v>
      </c>
      <c r="I33" s="11" t="n">
        <v>1295067</v>
      </c>
      <c r="J33" s="11" t="n">
        <v>2345</v>
      </c>
      <c r="K33" s="11" t="s">
        <v>22</v>
      </c>
      <c r="L33" s="11" t="s">
        <v>153</v>
      </c>
      <c r="M33" s="24" t="n">
        <v>45728</v>
      </c>
      <c r="N33" s="25" t="n">
        <f aca="false">INT((M33-D33)/365.25)</f>
        <v>24</v>
      </c>
      <c r="O33" s="12" t="s">
        <v>30</v>
      </c>
      <c r="P33" s="12" t="s">
        <v>22</v>
      </c>
    </row>
    <row r="34" customFormat="false" ht="15" hidden="false" customHeight="false" outlineLevel="0" collapsed="false">
      <c r="A34" s="23" t="n">
        <v>30</v>
      </c>
      <c r="B34" s="11" t="n">
        <v>866370</v>
      </c>
      <c r="C34" s="11" t="s">
        <v>413</v>
      </c>
      <c r="D34" s="12" t="n">
        <v>37954</v>
      </c>
      <c r="E34" s="11" t="s">
        <v>18</v>
      </c>
      <c r="F34" s="11" t="s">
        <v>19</v>
      </c>
      <c r="G34" s="11" t="s">
        <v>414</v>
      </c>
      <c r="H34" s="11" t="s">
        <v>415</v>
      </c>
      <c r="I34" s="11" t="n">
        <v>906222</v>
      </c>
      <c r="J34" s="11" t="n">
        <v>9210</v>
      </c>
      <c r="K34" s="11" t="s">
        <v>22</v>
      </c>
      <c r="L34" s="11" t="s">
        <v>153</v>
      </c>
      <c r="M34" s="24" t="n">
        <v>45728</v>
      </c>
      <c r="N34" s="25" t="n">
        <f aca="false">INT((M34-D34)/365.25)</f>
        <v>21</v>
      </c>
      <c r="O34" s="12" t="s">
        <v>30</v>
      </c>
      <c r="P34" s="12" t="s">
        <v>22</v>
      </c>
    </row>
    <row r="35" customFormat="false" ht="15" hidden="false" customHeight="false" outlineLevel="0" collapsed="false">
      <c r="A35" s="23" t="n">
        <v>31</v>
      </c>
      <c r="B35" s="11" t="n">
        <v>866553</v>
      </c>
      <c r="C35" s="11" t="s">
        <v>416</v>
      </c>
      <c r="D35" s="12" t="n">
        <v>38806</v>
      </c>
      <c r="E35" s="11" t="s">
        <v>18</v>
      </c>
      <c r="F35" s="11" t="s">
        <v>19</v>
      </c>
      <c r="G35" s="11" t="s">
        <v>417</v>
      </c>
      <c r="H35" s="11" t="s">
        <v>418</v>
      </c>
      <c r="I35" s="11" t="n">
        <v>251395</v>
      </c>
      <c r="J35" s="11" t="n">
        <v>1387</v>
      </c>
      <c r="K35" s="11" t="s">
        <v>22</v>
      </c>
      <c r="L35" s="11" t="s">
        <v>153</v>
      </c>
      <c r="M35" s="24" t="n">
        <v>45728</v>
      </c>
      <c r="N35" s="25" t="n">
        <f aca="false">INT((M35-D35)/365.25)</f>
        <v>18</v>
      </c>
      <c r="O35" s="12" t="s">
        <v>30</v>
      </c>
      <c r="P35" s="12" t="s">
        <v>22</v>
      </c>
    </row>
    <row r="36" customFormat="false" ht="15" hidden="false" customHeight="false" outlineLevel="0" collapsed="false">
      <c r="A36" s="23" t="n">
        <v>32</v>
      </c>
      <c r="B36" s="11" t="n">
        <v>866371</v>
      </c>
      <c r="C36" s="11" t="s">
        <v>419</v>
      </c>
      <c r="D36" s="12" t="n">
        <v>34504</v>
      </c>
      <c r="E36" s="11" t="s">
        <v>18</v>
      </c>
      <c r="F36" s="11" t="s">
        <v>19</v>
      </c>
      <c r="G36" s="11" t="s">
        <v>420</v>
      </c>
      <c r="H36" s="11" t="s">
        <v>421</v>
      </c>
      <c r="I36" s="11" t="n">
        <v>684627</v>
      </c>
      <c r="J36" s="11" t="n">
        <v>5312</v>
      </c>
      <c r="K36" s="11" t="s">
        <v>22</v>
      </c>
      <c r="L36" s="11" t="s">
        <v>153</v>
      </c>
      <c r="M36" s="24" t="n">
        <v>45728</v>
      </c>
      <c r="N36" s="25" t="n">
        <f aca="false">INT((M36-D36)/365.25)</f>
        <v>30</v>
      </c>
      <c r="O36" s="12" t="s">
        <v>30</v>
      </c>
      <c r="P36" s="12" t="s">
        <v>22</v>
      </c>
    </row>
    <row r="37" customFormat="false" ht="15" hidden="false" customHeight="false" outlineLevel="0" collapsed="false">
      <c r="A37" s="23" t="n">
        <v>33</v>
      </c>
      <c r="B37" s="11" t="n">
        <v>866372</v>
      </c>
      <c r="C37" s="11" t="s">
        <v>422</v>
      </c>
      <c r="D37" s="12" t="n">
        <v>37757</v>
      </c>
      <c r="E37" s="11" t="s">
        <v>18</v>
      </c>
      <c r="F37" s="11" t="s">
        <v>19</v>
      </c>
      <c r="G37" s="11" t="s">
        <v>423</v>
      </c>
      <c r="H37" s="11" t="s">
        <v>424</v>
      </c>
      <c r="I37" s="11" t="n">
        <v>1103813</v>
      </c>
      <c r="J37" s="11" t="n">
        <v>1375</v>
      </c>
      <c r="K37" s="11" t="s">
        <v>22</v>
      </c>
      <c r="L37" s="11" t="s">
        <v>153</v>
      </c>
      <c r="M37" s="24" t="n">
        <v>45728</v>
      </c>
      <c r="N37" s="25" t="n">
        <f aca="false">INT((M37-D37)/365.25)</f>
        <v>21</v>
      </c>
      <c r="O37" s="12" t="s">
        <v>30</v>
      </c>
      <c r="P37" s="12" t="s">
        <v>22</v>
      </c>
    </row>
  </sheetData>
  <mergeCells count="1">
    <mergeCell ref="A1:P2"/>
  </mergeCells>
  <conditionalFormatting sqref="N5:N37">
    <cfRule type="colorScale" priority="2">
      <colorScale>
        <cfvo type="num" val="17"/>
        <cfvo type="num" val="18"/>
        <color rgb="FFFF0000"/>
        <color rgb="FF92D050"/>
      </colorScale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2" activeCellId="0" sqref="E42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6.71"/>
    <col collapsed="false" customWidth="true" hidden="false" outlineLevel="0" max="3" min="3" style="0" width="34.14"/>
    <col collapsed="false" customWidth="true" hidden="false" outlineLevel="0" max="4" min="4" style="0" width="9"/>
    <col collapsed="false" customWidth="true" hidden="false" outlineLevel="0" max="5" min="5" style="0" width="17.57"/>
    <col collapsed="false" customWidth="true" hidden="false" outlineLevel="0" max="6" min="6" style="0" width="6.43"/>
    <col collapsed="false" customWidth="true" hidden="false" outlineLevel="0" max="7" min="7" style="0" width="11.86"/>
    <col collapsed="false" customWidth="true" hidden="false" outlineLevel="0" max="8" min="8" style="0" width="12.72"/>
    <col collapsed="false" customWidth="true" hidden="false" outlineLevel="0" max="9" min="9" style="0" width="9.57"/>
    <col collapsed="false" customWidth="true" hidden="false" outlineLevel="0" max="10" min="10" style="0" width="5"/>
    <col collapsed="false" customWidth="true" hidden="false" outlineLevel="0" max="11" min="11" style="0" width="5.29"/>
    <col collapsed="false" customWidth="true" hidden="false" outlineLevel="0" max="12" min="12" style="0" width="17.57"/>
    <col collapsed="false" customWidth="true" hidden="false" outlineLevel="0" max="13" min="13" style="0" width="9.29"/>
    <col collapsed="false" customWidth="true" hidden="false" outlineLevel="0" max="14" min="14" style="0" width="8"/>
    <col collapsed="false" customWidth="true" hidden="true" outlineLevel="0" max="15" min="15" style="0" width="11.86"/>
    <col collapsed="false" customWidth="true" hidden="false" outlineLevel="0" max="16" min="16" style="0" width="6.86"/>
  </cols>
  <sheetData>
    <row r="1" customFormat="false" ht="15" hidden="false" customHeight="false" outlineLevel="0" collapsed="false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customFormat="false" ht="15" hidden="false" customHeight="false" outlineLevel="0" collapsed="false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customFormat="false" ht="15" hidden="false" customHeight="false" outlineLevel="0" collapsed="false">
      <c r="A3" s="19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20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167</v>
      </c>
      <c r="P3" s="6" t="s">
        <v>16</v>
      </c>
    </row>
    <row r="4" customFormat="false" ht="15" hidden="false" customHeight="false" outlineLevel="0" collapsed="false">
      <c r="A4" s="21"/>
      <c r="B4" s="2"/>
      <c r="C4" s="6" t="s">
        <v>425</v>
      </c>
      <c r="D4" s="7"/>
      <c r="E4" s="2"/>
      <c r="F4" s="2"/>
      <c r="G4" s="2"/>
      <c r="H4" s="2"/>
      <c r="I4" s="2"/>
      <c r="J4" s="2"/>
      <c r="K4" s="2"/>
      <c r="L4" s="8"/>
      <c r="M4" s="22"/>
      <c r="N4" s="6"/>
      <c r="O4" s="6"/>
      <c r="P4" s="6"/>
    </row>
    <row r="5" customFormat="false" ht="15" hidden="false" customHeight="false" outlineLevel="0" collapsed="false">
      <c r="A5" s="23" t="n">
        <v>1</v>
      </c>
      <c r="B5" s="11" t="n">
        <v>866600</v>
      </c>
      <c r="C5" s="11" t="s">
        <v>426</v>
      </c>
      <c r="D5" s="12" t="n">
        <v>38734</v>
      </c>
      <c r="E5" s="11" t="s">
        <v>427</v>
      </c>
      <c r="F5" s="11" t="s">
        <v>165</v>
      </c>
      <c r="G5" s="11" t="s">
        <v>428</v>
      </c>
      <c r="H5" s="11" t="n">
        <v>10431124</v>
      </c>
      <c r="I5" s="11" t="n">
        <v>7046464</v>
      </c>
      <c r="J5" s="11" t="n">
        <v>229</v>
      </c>
      <c r="K5" s="11" t="s">
        <v>22</v>
      </c>
      <c r="L5" s="11" t="s">
        <v>282</v>
      </c>
      <c r="M5" s="24" t="n">
        <v>45720</v>
      </c>
      <c r="N5" s="25" t="n">
        <f aca="false">INT((M5-D5)/365.25)</f>
        <v>19</v>
      </c>
      <c r="O5" s="12" t="s">
        <v>30</v>
      </c>
      <c r="P5" s="12" t="s">
        <v>22</v>
      </c>
    </row>
    <row r="6" customFormat="false" ht="15" hidden="false" customHeight="false" outlineLevel="0" collapsed="false">
      <c r="A6" s="23" t="n">
        <v>2</v>
      </c>
      <c r="B6" s="11" t="n">
        <v>866635</v>
      </c>
      <c r="C6" s="11" t="s">
        <v>429</v>
      </c>
      <c r="D6" s="12" t="n">
        <v>37899</v>
      </c>
      <c r="E6" s="11" t="s">
        <v>427</v>
      </c>
      <c r="F6" s="11" t="s">
        <v>165</v>
      </c>
      <c r="G6" s="11" t="s">
        <v>430</v>
      </c>
      <c r="H6" s="11" t="n">
        <v>9707795</v>
      </c>
      <c r="I6" s="11" t="n">
        <v>956081</v>
      </c>
      <c r="J6" s="11" t="n">
        <v>1266</v>
      </c>
      <c r="K6" s="11" t="s">
        <v>22</v>
      </c>
      <c r="L6" s="11" t="s">
        <v>282</v>
      </c>
      <c r="M6" s="24" t="n">
        <v>45720</v>
      </c>
      <c r="N6" s="25" t="n">
        <f aca="false">INT((M6-D6)/365.25)</f>
        <v>21</v>
      </c>
      <c r="O6" s="12" t="s">
        <v>30</v>
      </c>
      <c r="P6" s="12" t="s">
        <v>22</v>
      </c>
    </row>
    <row r="7" customFormat="false" ht="15" hidden="false" customHeight="false" outlineLevel="0" collapsed="false">
      <c r="A7" s="23" t="n">
        <v>3</v>
      </c>
      <c r="B7" s="11" t="n">
        <v>866602</v>
      </c>
      <c r="C7" s="11" t="s">
        <v>431</v>
      </c>
      <c r="D7" s="12" t="n">
        <v>37541</v>
      </c>
      <c r="E7" s="11" t="s">
        <v>427</v>
      </c>
      <c r="F7" s="11" t="s">
        <v>165</v>
      </c>
      <c r="G7" s="11" t="s">
        <v>432</v>
      </c>
      <c r="H7" s="11" t="n">
        <v>8495768</v>
      </c>
      <c r="I7" s="11" t="n">
        <v>544549</v>
      </c>
      <c r="J7" s="11" t="n">
        <v>4225</v>
      </c>
      <c r="K7" s="11" t="s">
        <v>22</v>
      </c>
      <c r="L7" s="11" t="s">
        <v>282</v>
      </c>
      <c r="M7" s="24" t="n">
        <v>45720</v>
      </c>
      <c r="N7" s="25" t="n">
        <f aca="false">INT((M7-D7)/365.25)</f>
        <v>22</v>
      </c>
      <c r="O7" s="12" t="s">
        <v>30</v>
      </c>
      <c r="P7" s="12" t="s">
        <v>22</v>
      </c>
    </row>
    <row r="8" customFormat="false" ht="15" hidden="false" customHeight="false" outlineLevel="0" collapsed="false">
      <c r="A8" s="23" t="n">
        <v>4</v>
      </c>
      <c r="B8" s="11" t="n">
        <v>846246</v>
      </c>
      <c r="C8" s="11" t="s">
        <v>433</v>
      </c>
      <c r="D8" s="12" t="n">
        <v>37025</v>
      </c>
      <c r="E8" s="11" t="s">
        <v>427</v>
      </c>
      <c r="F8" s="11" t="s">
        <v>165</v>
      </c>
      <c r="G8" s="11" t="s">
        <v>434</v>
      </c>
      <c r="H8" s="11" t="n">
        <v>10140711</v>
      </c>
      <c r="I8" s="11" t="n">
        <v>915403</v>
      </c>
      <c r="J8" s="11" t="n">
        <v>9274</v>
      </c>
      <c r="K8" s="11" t="s">
        <v>22</v>
      </c>
      <c r="L8" s="11" t="s">
        <v>282</v>
      </c>
      <c r="M8" s="24" t="n">
        <v>45720</v>
      </c>
      <c r="N8" s="25" t="n">
        <f aca="false">INT((M8-D8)/365.25)</f>
        <v>23</v>
      </c>
      <c r="O8" s="12" t="s">
        <v>30</v>
      </c>
      <c r="P8" s="12" t="s">
        <v>22</v>
      </c>
    </row>
    <row r="9" customFormat="false" ht="15" hidden="false" customHeight="false" outlineLevel="0" collapsed="false">
      <c r="A9" s="23" t="n">
        <v>5</v>
      </c>
      <c r="B9" s="11" t="n">
        <v>866628</v>
      </c>
      <c r="C9" s="11" t="s">
        <v>435</v>
      </c>
      <c r="D9" s="12" t="n">
        <v>38510</v>
      </c>
      <c r="E9" s="11" t="s">
        <v>427</v>
      </c>
      <c r="F9" s="11" t="s">
        <v>165</v>
      </c>
      <c r="G9" s="11" t="s">
        <v>436</v>
      </c>
      <c r="H9" s="11" t="n">
        <v>10259539</v>
      </c>
      <c r="I9" s="11" t="n">
        <v>7124760</v>
      </c>
      <c r="J9" s="11" t="n">
        <v>6236</v>
      </c>
      <c r="K9" s="11" t="s">
        <v>22</v>
      </c>
      <c r="L9" s="11" t="s">
        <v>282</v>
      </c>
      <c r="M9" s="24" t="n">
        <v>45720</v>
      </c>
      <c r="N9" s="25" t="n">
        <f aca="false">INT((M9-D9)/365.25)</f>
        <v>19</v>
      </c>
      <c r="O9" s="12" t="s">
        <v>30</v>
      </c>
      <c r="P9" s="12" t="s">
        <v>22</v>
      </c>
    </row>
    <row r="10" customFormat="false" ht="15" hidden="false" customHeight="false" outlineLevel="0" collapsed="false">
      <c r="A10" s="23" t="n">
        <v>6</v>
      </c>
      <c r="B10" s="11" t="n">
        <v>866767</v>
      </c>
      <c r="C10" s="11" t="s">
        <v>437</v>
      </c>
      <c r="D10" s="12" t="n">
        <v>27347</v>
      </c>
      <c r="E10" s="11" t="s">
        <v>427</v>
      </c>
      <c r="F10" s="11" t="s">
        <v>165</v>
      </c>
      <c r="G10" s="11" t="s">
        <v>438</v>
      </c>
      <c r="H10" s="11" t="n">
        <v>2553631</v>
      </c>
      <c r="I10" s="11" t="n">
        <v>85670</v>
      </c>
      <c r="J10" s="11" t="n">
        <v>35</v>
      </c>
      <c r="K10" s="11" t="s">
        <v>22</v>
      </c>
      <c r="L10" s="11" t="s">
        <v>282</v>
      </c>
      <c r="M10" s="24" t="n">
        <v>45720</v>
      </c>
      <c r="N10" s="25" t="n">
        <f aca="false">INT((M10-D10)/365.25)</f>
        <v>50</v>
      </c>
      <c r="O10" s="12"/>
      <c r="P10" s="12" t="s">
        <v>22</v>
      </c>
    </row>
    <row r="11" customFormat="false" ht="15" hidden="false" customHeight="false" outlineLevel="0" collapsed="false">
      <c r="A11" s="23" t="n">
        <v>7</v>
      </c>
      <c r="B11" s="11" t="n">
        <v>846278</v>
      </c>
      <c r="C11" s="11" t="s">
        <v>439</v>
      </c>
      <c r="D11" s="12" t="n">
        <v>37637</v>
      </c>
      <c r="E11" s="11" t="s">
        <v>427</v>
      </c>
      <c r="F11" s="11" t="s">
        <v>165</v>
      </c>
      <c r="G11" s="11" t="s">
        <v>440</v>
      </c>
      <c r="H11" s="11" t="n">
        <v>9597903</v>
      </c>
      <c r="I11" s="11" t="n">
        <v>892404</v>
      </c>
      <c r="J11" s="11" t="n">
        <v>4265</v>
      </c>
      <c r="K11" s="11" t="s">
        <v>22</v>
      </c>
      <c r="L11" s="11" t="s">
        <v>282</v>
      </c>
      <c r="M11" s="24" t="n">
        <v>45720</v>
      </c>
      <c r="N11" s="25" t="n">
        <f aca="false">INT((M11-D11)/365.25)</f>
        <v>22</v>
      </c>
      <c r="O11" s="12" t="s">
        <v>30</v>
      </c>
      <c r="P11" s="12" t="s">
        <v>22</v>
      </c>
    </row>
    <row r="12" customFormat="false" ht="15" hidden="false" customHeight="false" outlineLevel="0" collapsed="false">
      <c r="A12" s="23" t="n">
        <v>8</v>
      </c>
      <c r="B12" s="11" t="n">
        <v>866939</v>
      </c>
      <c r="C12" s="11" t="s">
        <v>441</v>
      </c>
      <c r="D12" s="12" t="n">
        <v>32876</v>
      </c>
      <c r="E12" s="11" t="s">
        <v>427</v>
      </c>
      <c r="F12" s="11" t="s">
        <v>165</v>
      </c>
      <c r="G12" s="11" t="s">
        <v>442</v>
      </c>
      <c r="H12" s="11" t="n">
        <v>4976515</v>
      </c>
      <c r="I12" s="11" t="n">
        <v>14596</v>
      </c>
      <c r="J12" s="11" t="n">
        <v>70</v>
      </c>
      <c r="K12" s="11" t="s">
        <v>22</v>
      </c>
      <c r="L12" s="11" t="s">
        <v>282</v>
      </c>
      <c r="M12" s="24" t="n">
        <v>45720</v>
      </c>
      <c r="N12" s="25" t="n">
        <f aca="false">INT((M12-D12)/365.25)</f>
        <v>35</v>
      </c>
      <c r="O12" s="12" t="s">
        <v>30</v>
      </c>
      <c r="P12" s="12" t="s">
        <v>22</v>
      </c>
    </row>
    <row r="13" customFormat="false" ht="15" hidden="false" customHeight="false" outlineLevel="0" collapsed="false">
      <c r="A13" s="23" t="n">
        <v>9</v>
      </c>
      <c r="B13" s="11" t="n">
        <v>866935</v>
      </c>
      <c r="C13" s="11" t="s">
        <v>443</v>
      </c>
      <c r="D13" s="12" t="n">
        <v>32497</v>
      </c>
      <c r="E13" s="11" t="s">
        <v>427</v>
      </c>
      <c r="F13" s="11" t="s">
        <v>165</v>
      </c>
      <c r="G13" s="11" t="s">
        <v>444</v>
      </c>
      <c r="H13" s="11" t="n">
        <v>6112347</v>
      </c>
      <c r="I13" s="11" t="n">
        <v>120343</v>
      </c>
      <c r="J13" s="11" t="n">
        <v>4286</v>
      </c>
      <c r="K13" s="11" t="s">
        <v>22</v>
      </c>
      <c r="L13" s="11" t="s">
        <v>282</v>
      </c>
      <c r="M13" s="24" t="n">
        <v>45720</v>
      </c>
      <c r="N13" s="25" t="n">
        <f aca="false">INT((M13-D13)/365.25)</f>
        <v>36</v>
      </c>
      <c r="O13" s="12" t="s">
        <v>30</v>
      </c>
      <c r="P13" s="12" t="s">
        <v>22</v>
      </c>
    </row>
    <row r="14" customFormat="false" ht="15" hidden="false" customHeight="false" outlineLevel="0" collapsed="false">
      <c r="A14" s="23" t="n">
        <v>10</v>
      </c>
      <c r="B14" s="11" t="n">
        <v>866766</v>
      </c>
      <c r="C14" s="11" t="s">
        <v>445</v>
      </c>
      <c r="D14" s="12" t="n">
        <v>34980</v>
      </c>
      <c r="E14" s="11" t="s">
        <v>427</v>
      </c>
      <c r="F14" s="11" t="s">
        <v>165</v>
      </c>
      <c r="G14" s="11" t="s">
        <v>446</v>
      </c>
      <c r="H14" s="11" t="n">
        <v>9499449</v>
      </c>
      <c r="I14" s="11" t="n">
        <v>94647</v>
      </c>
      <c r="J14" s="11" t="n">
        <v>68</v>
      </c>
      <c r="K14" s="11" t="s">
        <v>22</v>
      </c>
      <c r="L14" s="11" t="s">
        <v>282</v>
      </c>
      <c r="M14" s="24" t="n">
        <v>45720</v>
      </c>
      <c r="N14" s="25" t="n">
        <f aca="false">INT((M14-D14)/365.25)</f>
        <v>29</v>
      </c>
      <c r="O14" s="12"/>
      <c r="P14" s="12" t="s">
        <v>22</v>
      </c>
    </row>
    <row r="15" customFormat="false" ht="15" hidden="false" customHeight="false" outlineLevel="0" collapsed="false">
      <c r="A15" s="23" t="n">
        <v>11</v>
      </c>
      <c r="B15" s="11" t="n">
        <v>819403</v>
      </c>
      <c r="C15" s="11" t="s">
        <v>447</v>
      </c>
      <c r="D15" s="12" t="n">
        <v>34827</v>
      </c>
      <c r="E15" s="11" t="s">
        <v>427</v>
      </c>
      <c r="F15" s="11" t="s">
        <v>165</v>
      </c>
      <c r="G15" s="11" t="s">
        <v>448</v>
      </c>
      <c r="H15" s="11" t="n">
        <v>8012890</v>
      </c>
      <c r="I15" s="11" t="n">
        <v>24453</v>
      </c>
      <c r="J15" s="11" t="n">
        <v>75</v>
      </c>
      <c r="K15" s="11" t="s">
        <v>22</v>
      </c>
      <c r="L15" s="11" t="s">
        <v>282</v>
      </c>
      <c r="M15" s="24" t="n">
        <v>45717</v>
      </c>
      <c r="N15" s="25" t="n">
        <f aca="false">INT((M15-D15)/365.25)</f>
        <v>29</v>
      </c>
      <c r="O15" s="12" t="s">
        <v>30</v>
      </c>
      <c r="P15" s="12" t="s">
        <v>22</v>
      </c>
    </row>
    <row r="16" customFormat="false" ht="15" hidden="false" customHeight="false" outlineLevel="0" collapsed="false">
      <c r="A16" s="23" t="n">
        <v>12</v>
      </c>
      <c r="B16" s="11" t="n">
        <v>866603</v>
      </c>
      <c r="C16" s="11" t="s">
        <v>449</v>
      </c>
      <c r="D16" s="12" t="n">
        <v>38794</v>
      </c>
      <c r="E16" s="11" t="s">
        <v>427</v>
      </c>
      <c r="F16" s="11" t="s">
        <v>165</v>
      </c>
      <c r="G16" s="11" t="s">
        <v>450</v>
      </c>
      <c r="H16" s="11" t="n">
        <v>10311495</v>
      </c>
      <c r="I16" s="11" t="n">
        <v>838275</v>
      </c>
      <c r="J16" s="11" t="n">
        <v>5240</v>
      </c>
      <c r="K16" s="11" t="s">
        <v>22</v>
      </c>
      <c r="L16" s="11" t="s">
        <v>282</v>
      </c>
      <c r="M16" s="24" t="n">
        <v>45717</v>
      </c>
      <c r="N16" s="25" t="n">
        <f aca="false">INT((M16-D16)/365.25)</f>
        <v>18</v>
      </c>
      <c r="O16" s="12" t="s">
        <v>30</v>
      </c>
      <c r="P16" s="12" t="s">
        <v>22</v>
      </c>
    </row>
    <row r="17" customFormat="false" ht="15" hidden="false" customHeight="false" outlineLevel="0" collapsed="false">
      <c r="A17" s="23" t="n">
        <v>13</v>
      </c>
      <c r="B17" s="11" t="n">
        <v>866623</v>
      </c>
      <c r="C17" s="11" t="s">
        <v>451</v>
      </c>
      <c r="D17" s="12" t="n">
        <v>38826</v>
      </c>
      <c r="E17" s="11" t="s">
        <v>452</v>
      </c>
      <c r="F17" s="11" t="s">
        <v>165</v>
      </c>
      <c r="G17" s="11" t="s">
        <v>453</v>
      </c>
      <c r="H17" s="11" t="n">
        <v>9975537</v>
      </c>
      <c r="I17" s="11" t="n">
        <v>902917</v>
      </c>
      <c r="J17" s="11" t="n">
        <v>212</v>
      </c>
      <c r="K17" s="11" t="s">
        <v>22</v>
      </c>
      <c r="L17" s="11" t="s">
        <v>282</v>
      </c>
      <c r="M17" s="24" t="n">
        <v>45720</v>
      </c>
      <c r="N17" s="25" t="n">
        <f aca="false">INT((M17-D17)/365.25)</f>
        <v>18</v>
      </c>
      <c r="O17" s="12" t="s">
        <v>30</v>
      </c>
      <c r="P17" s="12" t="s">
        <v>22</v>
      </c>
    </row>
    <row r="18" customFormat="false" ht="15" hidden="false" customHeight="false" outlineLevel="0" collapsed="false">
      <c r="A18" s="23" t="n">
        <v>14</v>
      </c>
      <c r="B18" s="11" t="n">
        <v>866599</v>
      </c>
      <c r="C18" s="11" t="s">
        <v>454</v>
      </c>
      <c r="D18" s="12" t="n">
        <v>36499</v>
      </c>
      <c r="E18" s="11" t="s">
        <v>452</v>
      </c>
      <c r="F18" s="11" t="s">
        <v>165</v>
      </c>
      <c r="G18" s="11" t="s">
        <v>455</v>
      </c>
      <c r="H18" s="11" t="n">
        <v>7638923</v>
      </c>
      <c r="I18" s="11" t="n">
        <v>357058</v>
      </c>
      <c r="J18" s="11" t="n">
        <v>202</v>
      </c>
      <c r="K18" s="11" t="s">
        <v>22</v>
      </c>
      <c r="L18" s="11" t="s">
        <v>282</v>
      </c>
      <c r="M18" s="24" t="n">
        <v>45720</v>
      </c>
      <c r="N18" s="25" t="n">
        <f aca="false">INT((M18-D18)/365.25)</f>
        <v>25</v>
      </c>
      <c r="O18" s="12" t="s">
        <v>30</v>
      </c>
      <c r="P18" s="12" t="s">
        <v>22</v>
      </c>
    </row>
    <row r="19" customFormat="false" ht="15" hidden="false" customHeight="false" outlineLevel="0" collapsed="false">
      <c r="A19" s="23" t="n">
        <v>15</v>
      </c>
      <c r="B19" s="11" t="n">
        <v>866629</v>
      </c>
      <c r="C19" s="11" t="s">
        <v>456</v>
      </c>
      <c r="D19" s="12" t="n">
        <v>37271</v>
      </c>
      <c r="E19" s="11" t="s">
        <v>452</v>
      </c>
      <c r="F19" s="11" t="s">
        <v>165</v>
      </c>
      <c r="G19" s="11" t="s">
        <v>457</v>
      </c>
      <c r="H19" s="11" t="n">
        <v>9499452</v>
      </c>
      <c r="I19" s="11" t="n">
        <v>712364252</v>
      </c>
      <c r="J19" s="11" t="n">
        <v>5200</v>
      </c>
      <c r="K19" s="11" t="s">
        <v>22</v>
      </c>
      <c r="L19" s="11" t="s">
        <v>282</v>
      </c>
      <c r="M19" s="24" t="n">
        <v>45720</v>
      </c>
      <c r="N19" s="25" t="n">
        <f aca="false">INT((M19-D19)/365.25)</f>
        <v>23</v>
      </c>
      <c r="O19" s="12" t="s">
        <v>30</v>
      </c>
      <c r="P19" s="12" t="s">
        <v>22</v>
      </c>
    </row>
    <row r="20" customFormat="false" ht="15" hidden="false" customHeight="false" outlineLevel="0" collapsed="false">
      <c r="A20" s="23" t="n">
        <v>16</v>
      </c>
      <c r="B20" s="11" t="n">
        <v>866620</v>
      </c>
      <c r="C20" s="11" t="s">
        <v>458</v>
      </c>
      <c r="D20" s="12" t="n">
        <v>38646</v>
      </c>
      <c r="E20" s="11" t="s">
        <v>452</v>
      </c>
      <c r="F20" s="11" t="s">
        <v>165</v>
      </c>
      <c r="G20" s="11" t="s">
        <v>459</v>
      </c>
      <c r="H20" s="11" t="n">
        <v>9713294</v>
      </c>
      <c r="I20" s="11" t="n">
        <v>761204</v>
      </c>
      <c r="J20" s="11" t="n">
        <v>3262</v>
      </c>
      <c r="K20" s="11" t="s">
        <v>22</v>
      </c>
      <c r="L20" s="11" t="s">
        <v>282</v>
      </c>
      <c r="M20" s="24" t="n">
        <v>45720</v>
      </c>
      <c r="N20" s="25" t="n">
        <f aca="false">INT((M20-D20)/365.25)</f>
        <v>19</v>
      </c>
      <c r="O20" s="12" t="s">
        <v>30</v>
      </c>
      <c r="P20" s="12" t="s">
        <v>22</v>
      </c>
    </row>
    <row r="21" customFormat="false" ht="15" hidden="false" customHeight="false" outlineLevel="0" collapsed="false">
      <c r="A21" s="23" t="n">
        <v>17</v>
      </c>
      <c r="B21" s="11" t="n">
        <v>866624</v>
      </c>
      <c r="C21" s="11" t="s">
        <v>460</v>
      </c>
      <c r="D21" s="12" t="n">
        <v>37970</v>
      </c>
      <c r="E21" s="11" t="s">
        <v>452</v>
      </c>
      <c r="F21" s="11" t="s">
        <v>165</v>
      </c>
      <c r="G21" s="11" t="s">
        <v>461</v>
      </c>
      <c r="H21" s="11" t="n">
        <v>9313344</v>
      </c>
      <c r="I21" s="11" t="n">
        <v>256277</v>
      </c>
      <c r="J21" s="11" t="n">
        <v>2229</v>
      </c>
      <c r="K21" s="11" t="s">
        <v>22</v>
      </c>
      <c r="L21" s="11" t="s">
        <v>282</v>
      </c>
      <c r="M21" s="24" t="n">
        <v>45720</v>
      </c>
      <c r="N21" s="25" t="n">
        <f aca="false">INT((M21-D21)/365.25)</f>
        <v>21</v>
      </c>
      <c r="O21" s="12" t="s">
        <v>30</v>
      </c>
      <c r="P21" s="12" t="s">
        <v>22</v>
      </c>
    </row>
    <row r="22" customFormat="false" ht="15" hidden="false" customHeight="false" outlineLevel="0" collapsed="false">
      <c r="A22" s="23" t="n">
        <v>18</v>
      </c>
      <c r="B22" s="11" t="n">
        <v>866614</v>
      </c>
      <c r="C22" s="11" t="s">
        <v>462</v>
      </c>
      <c r="D22" s="12" t="n">
        <v>34957</v>
      </c>
      <c r="E22" s="11" t="s">
        <v>452</v>
      </c>
      <c r="F22" s="11" t="s">
        <v>165</v>
      </c>
      <c r="G22" s="11" t="s">
        <v>463</v>
      </c>
      <c r="H22" s="11" t="n">
        <v>7839837</v>
      </c>
      <c r="I22" s="11" t="n">
        <v>5690103</v>
      </c>
      <c r="J22" s="11" t="n">
        <v>40</v>
      </c>
      <c r="K22" s="11" t="s">
        <v>22</v>
      </c>
      <c r="L22" s="11" t="s">
        <v>282</v>
      </c>
      <c r="M22" s="24" t="n">
        <v>45720</v>
      </c>
      <c r="N22" s="25" t="n">
        <f aca="false">INT((M22-D22)/365.25)</f>
        <v>29</v>
      </c>
      <c r="O22" s="12" t="s">
        <v>464</v>
      </c>
      <c r="P22" s="12" t="s">
        <v>22</v>
      </c>
    </row>
    <row r="23" customFormat="false" ht="15" hidden="false" customHeight="false" outlineLevel="0" collapsed="false">
      <c r="A23" s="23" t="n">
        <v>19</v>
      </c>
      <c r="B23" s="11" t="n">
        <v>866619</v>
      </c>
      <c r="C23" s="11" t="s">
        <v>465</v>
      </c>
      <c r="D23" s="12" t="n">
        <v>35940</v>
      </c>
      <c r="E23" s="11" t="s">
        <v>452</v>
      </c>
      <c r="F23" s="11" t="s">
        <v>165</v>
      </c>
      <c r="G23" s="11" t="s">
        <v>466</v>
      </c>
      <c r="H23" s="11" t="n">
        <v>8002650</v>
      </c>
      <c r="I23" s="11" t="n">
        <v>7094602</v>
      </c>
      <c r="J23" s="11" t="n">
        <v>9288</v>
      </c>
      <c r="K23" s="11" t="s">
        <v>22</v>
      </c>
      <c r="L23" s="11" t="s">
        <v>282</v>
      </c>
      <c r="M23" s="24" t="n">
        <v>45720</v>
      </c>
      <c r="N23" s="25" t="n">
        <f aca="false">INT((M23-D23)/365.25)</f>
        <v>26</v>
      </c>
      <c r="O23" s="12" t="s">
        <v>30</v>
      </c>
      <c r="P23" s="12" t="s">
        <v>22</v>
      </c>
    </row>
    <row r="24" customFormat="false" ht="15" hidden="false" customHeight="false" outlineLevel="0" collapsed="false">
      <c r="A24" s="23" t="n">
        <v>20</v>
      </c>
      <c r="B24" s="11" t="n">
        <v>866933</v>
      </c>
      <c r="C24" s="11" t="s">
        <v>467</v>
      </c>
      <c r="D24" s="12" t="n">
        <v>36577</v>
      </c>
      <c r="E24" s="11" t="s">
        <v>452</v>
      </c>
      <c r="F24" s="11" t="s">
        <v>165</v>
      </c>
      <c r="G24" s="11" t="s">
        <v>468</v>
      </c>
      <c r="H24" s="11" t="n">
        <v>8269206</v>
      </c>
      <c r="I24" s="11" t="n">
        <v>491605</v>
      </c>
      <c r="J24" s="11" t="n">
        <v>6256</v>
      </c>
      <c r="K24" s="11" t="s">
        <v>22</v>
      </c>
      <c r="L24" s="11" t="s">
        <v>282</v>
      </c>
      <c r="M24" s="24" t="n">
        <v>45720</v>
      </c>
      <c r="N24" s="25" t="n">
        <f aca="false">INT((M24-D24)/365.25)</f>
        <v>25</v>
      </c>
      <c r="O24" s="12" t="s">
        <v>30</v>
      </c>
      <c r="P24" s="12" t="s">
        <v>22</v>
      </c>
    </row>
    <row r="25" customFormat="false" ht="15" hidden="false" customHeight="false" outlineLevel="0" collapsed="false">
      <c r="A25" s="23" t="n">
        <v>21</v>
      </c>
      <c r="B25" s="11" t="n">
        <v>846919</v>
      </c>
      <c r="C25" s="11" t="s">
        <v>469</v>
      </c>
      <c r="D25" s="12" t="n">
        <v>36498</v>
      </c>
      <c r="E25" s="11" t="s">
        <v>452</v>
      </c>
      <c r="F25" s="11" t="s">
        <v>165</v>
      </c>
      <c r="G25" s="11" t="s">
        <v>470</v>
      </c>
      <c r="H25" s="11" t="n">
        <v>7537199</v>
      </c>
      <c r="I25" s="11" t="n">
        <v>626300</v>
      </c>
      <c r="J25" s="11" t="n">
        <v>9241</v>
      </c>
      <c r="K25" s="11" t="s">
        <v>22</v>
      </c>
      <c r="L25" s="11" t="s">
        <v>282</v>
      </c>
      <c r="M25" s="24" t="n">
        <v>45720</v>
      </c>
      <c r="N25" s="25" t="n">
        <f aca="false">INT((M25-D25)/365.25)</f>
        <v>25</v>
      </c>
      <c r="O25" s="12" t="s">
        <v>30</v>
      </c>
      <c r="P25" s="12" t="s">
        <v>22</v>
      </c>
    </row>
    <row r="26" customFormat="false" ht="15" hidden="false" customHeight="false" outlineLevel="0" collapsed="false">
      <c r="A26" s="23" t="n">
        <v>22</v>
      </c>
      <c r="B26" s="11" t="n">
        <v>866932</v>
      </c>
      <c r="C26" s="11" t="s">
        <v>471</v>
      </c>
      <c r="D26" s="12" t="n">
        <v>36897</v>
      </c>
      <c r="E26" s="11" t="s">
        <v>452</v>
      </c>
      <c r="F26" s="11" t="s">
        <v>165</v>
      </c>
      <c r="G26" s="11" t="s">
        <v>472</v>
      </c>
      <c r="H26" s="11" t="n">
        <v>8369033</v>
      </c>
      <c r="I26" s="11" t="n">
        <v>7041916</v>
      </c>
      <c r="J26" s="11" t="n">
        <v>8206</v>
      </c>
      <c r="K26" s="11" t="s">
        <v>22</v>
      </c>
      <c r="L26" s="11" t="s">
        <v>282</v>
      </c>
      <c r="M26" s="24" t="n">
        <v>45720</v>
      </c>
      <c r="N26" s="25" t="n">
        <f aca="false">INT((M26-D26)/365.25)</f>
        <v>24</v>
      </c>
      <c r="O26" s="12" t="s">
        <v>30</v>
      </c>
      <c r="P26" s="12" t="s">
        <v>22</v>
      </c>
    </row>
    <row r="27" customFormat="false" ht="15" hidden="false" customHeight="false" outlineLevel="0" collapsed="false">
      <c r="A27" s="23" t="n">
        <v>23</v>
      </c>
      <c r="B27" s="11" t="n">
        <v>866631</v>
      </c>
      <c r="C27" s="11" t="s">
        <v>473</v>
      </c>
      <c r="D27" s="12" t="n">
        <v>35765</v>
      </c>
      <c r="E27" s="11" t="s">
        <v>452</v>
      </c>
      <c r="F27" s="11" t="s">
        <v>165</v>
      </c>
      <c r="G27" s="11" t="s">
        <v>474</v>
      </c>
      <c r="H27" s="11" t="n">
        <v>8219604</v>
      </c>
      <c r="I27" s="11" t="n">
        <v>474267</v>
      </c>
      <c r="J27" s="11" t="n">
        <v>9202</v>
      </c>
      <c r="K27" s="11" t="s">
        <v>22</v>
      </c>
      <c r="L27" s="11" t="s">
        <v>282</v>
      </c>
      <c r="M27" s="24" t="n">
        <v>45720</v>
      </c>
      <c r="N27" s="25" t="n">
        <f aca="false">INT((M27-D27)/365.25)</f>
        <v>27</v>
      </c>
      <c r="O27" s="12" t="s">
        <v>30</v>
      </c>
      <c r="P27" s="12" t="s">
        <v>22</v>
      </c>
    </row>
    <row r="28" customFormat="false" ht="15" hidden="false" customHeight="false" outlineLevel="0" collapsed="false">
      <c r="A28" s="23" t="n">
        <v>24</v>
      </c>
      <c r="B28" s="11" t="n">
        <v>855426</v>
      </c>
      <c r="C28" s="11" t="s">
        <v>475</v>
      </c>
      <c r="D28" s="12" t="n">
        <v>38636</v>
      </c>
      <c r="E28" s="11" t="s">
        <v>452</v>
      </c>
      <c r="F28" s="11" t="s">
        <v>165</v>
      </c>
      <c r="G28" s="11" t="s">
        <v>476</v>
      </c>
      <c r="H28" s="11" t="n">
        <v>9919995</v>
      </c>
      <c r="I28" s="11" t="n">
        <v>697716</v>
      </c>
      <c r="J28" s="11" t="n">
        <v>7246</v>
      </c>
      <c r="K28" s="11" t="s">
        <v>22</v>
      </c>
      <c r="L28" s="11" t="s">
        <v>282</v>
      </c>
      <c r="M28" s="24" t="n">
        <v>45720</v>
      </c>
      <c r="N28" s="25" t="n">
        <f aca="false">INT((M28-D28)/365.25)</f>
        <v>19</v>
      </c>
      <c r="O28" s="12" t="s">
        <v>30</v>
      </c>
      <c r="P28" s="12" t="s">
        <v>22</v>
      </c>
    </row>
    <row r="29" customFormat="false" ht="15" hidden="false" customHeight="false" outlineLevel="0" collapsed="false">
      <c r="A29" s="23" t="n">
        <v>25</v>
      </c>
      <c r="B29" s="11" t="n">
        <v>866617</v>
      </c>
      <c r="C29" s="11" t="s">
        <v>477</v>
      </c>
      <c r="D29" s="12" t="n">
        <v>39076</v>
      </c>
      <c r="E29" s="11" t="s">
        <v>478</v>
      </c>
      <c r="F29" s="11" t="s">
        <v>165</v>
      </c>
      <c r="G29" s="11" t="s">
        <v>479</v>
      </c>
      <c r="H29" s="11" t="n">
        <v>10698315</v>
      </c>
      <c r="I29" s="11" t="n">
        <v>967465</v>
      </c>
      <c r="J29" s="11" t="n">
        <v>7290</v>
      </c>
      <c r="K29" s="11" t="s">
        <v>22</v>
      </c>
      <c r="L29" s="11" t="s">
        <v>282</v>
      </c>
      <c r="M29" s="24" t="n">
        <v>45720</v>
      </c>
      <c r="N29" s="25" t="n">
        <f aca="false">INT((M29-D29)/365.25)</f>
        <v>18</v>
      </c>
      <c r="O29" s="12" t="s">
        <v>30</v>
      </c>
      <c r="P29" s="12" t="s">
        <v>22</v>
      </c>
    </row>
    <row r="30" customFormat="false" ht="15" hidden="false" customHeight="false" outlineLevel="0" collapsed="false">
      <c r="A30" s="23" t="n">
        <v>26</v>
      </c>
      <c r="B30" s="11" t="n">
        <v>852480</v>
      </c>
      <c r="C30" s="11" t="s">
        <v>480</v>
      </c>
      <c r="D30" s="12" t="n">
        <v>31308</v>
      </c>
      <c r="E30" s="11" t="s">
        <v>478</v>
      </c>
      <c r="F30" s="11" t="s">
        <v>165</v>
      </c>
      <c r="G30" s="11" t="s">
        <v>481</v>
      </c>
      <c r="H30" s="11" t="n">
        <v>4901861</v>
      </c>
      <c r="I30" s="11" t="n">
        <v>8913826</v>
      </c>
      <c r="J30" s="11" t="n">
        <v>204</v>
      </c>
      <c r="K30" s="11" t="s">
        <v>22</v>
      </c>
      <c r="L30" s="11" t="s">
        <v>282</v>
      </c>
      <c r="M30" s="24" t="n">
        <v>45720</v>
      </c>
      <c r="N30" s="25" t="n">
        <f aca="false">INT((M30-D30)/365.25)</f>
        <v>39</v>
      </c>
      <c r="O30" s="12" t="s">
        <v>30</v>
      </c>
      <c r="P30" s="12" t="s">
        <v>22</v>
      </c>
    </row>
    <row r="31" customFormat="false" ht="15" hidden="false" customHeight="false" outlineLevel="0" collapsed="false">
      <c r="A31" s="23" t="n">
        <v>27</v>
      </c>
      <c r="B31" s="11" t="n">
        <v>843640</v>
      </c>
      <c r="C31" s="11" t="s">
        <v>482</v>
      </c>
      <c r="D31" s="12" t="n">
        <v>28277</v>
      </c>
      <c r="E31" s="11" t="s">
        <v>478</v>
      </c>
      <c r="F31" s="11" t="s">
        <v>165</v>
      </c>
      <c r="G31" s="11" t="s">
        <v>483</v>
      </c>
      <c r="H31" s="11" t="n">
        <v>3267677</v>
      </c>
      <c r="I31" s="11" t="n">
        <v>6044613</v>
      </c>
      <c r="J31" s="11" t="n">
        <v>7200</v>
      </c>
      <c r="K31" s="11" t="s">
        <v>22</v>
      </c>
      <c r="L31" s="11" t="s">
        <v>282</v>
      </c>
      <c r="M31" s="24" t="n">
        <v>45720</v>
      </c>
      <c r="N31" s="25" t="n">
        <f aca="false">INT((M31-D31)/365.25)</f>
        <v>47</v>
      </c>
      <c r="O31" s="12" t="s">
        <v>30</v>
      </c>
      <c r="P31" s="12" t="s">
        <v>22</v>
      </c>
    </row>
    <row r="32" customFormat="false" ht="15" hidden="false" customHeight="false" outlineLevel="0" collapsed="false">
      <c r="A32" s="23" t="n">
        <v>28</v>
      </c>
      <c r="B32" s="11" t="n">
        <v>860863</v>
      </c>
      <c r="C32" s="11" t="s">
        <v>484</v>
      </c>
      <c r="D32" s="12" t="n">
        <v>37599</v>
      </c>
      <c r="E32" s="11" t="s">
        <v>478</v>
      </c>
      <c r="F32" s="11" t="s">
        <v>165</v>
      </c>
      <c r="G32" s="11" t="s">
        <v>485</v>
      </c>
      <c r="H32" s="11" t="n">
        <v>1662104</v>
      </c>
      <c r="I32" s="11" t="n">
        <v>1026473</v>
      </c>
      <c r="J32" s="11" t="n">
        <v>9183</v>
      </c>
      <c r="K32" s="11" t="s">
        <v>22</v>
      </c>
      <c r="L32" s="11" t="s">
        <v>282</v>
      </c>
      <c r="M32" s="24" t="n">
        <v>45720</v>
      </c>
      <c r="N32" s="25" t="n">
        <f aca="false">INT((M32-D32)/365.25)</f>
        <v>22</v>
      </c>
      <c r="O32" s="12" t="s">
        <v>30</v>
      </c>
      <c r="P32" s="12" t="s">
        <v>22</v>
      </c>
    </row>
    <row r="33" customFormat="false" ht="15" hidden="false" customHeight="false" outlineLevel="0" collapsed="false">
      <c r="A33" s="23" t="n">
        <v>29</v>
      </c>
      <c r="B33" s="11" t="n">
        <v>809695</v>
      </c>
      <c r="C33" s="11" t="s">
        <v>486</v>
      </c>
      <c r="D33" s="12" t="n">
        <v>35207</v>
      </c>
      <c r="E33" s="11" t="s">
        <v>478</v>
      </c>
      <c r="F33" s="11" t="s">
        <v>165</v>
      </c>
      <c r="G33" s="11" t="s">
        <v>487</v>
      </c>
      <c r="H33" s="11" t="n">
        <v>7903741</v>
      </c>
      <c r="I33" s="11" t="n">
        <v>34</v>
      </c>
      <c r="J33" s="11" t="n">
        <v>75</v>
      </c>
      <c r="K33" s="11" t="s">
        <v>22</v>
      </c>
      <c r="L33" s="11" t="s">
        <v>282</v>
      </c>
      <c r="M33" s="24" t="n">
        <v>45720</v>
      </c>
      <c r="N33" s="25" t="n">
        <f aca="false">INT((M33-D33)/365.25)</f>
        <v>28</v>
      </c>
      <c r="O33" s="12" t="s">
        <v>30</v>
      </c>
      <c r="P33" s="12" t="s">
        <v>22</v>
      </c>
    </row>
    <row r="34" customFormat="false" ht="15" hidden="false" customHeight="false" outlineLevel="0" collapsed="false">
      <c r="A34" s="23" t="n">
        <v>30</v>
      </c>
      <c r="B34" s="11" t="n">
        <v>866626</v>
      </c>
      <c r="C34" s="11" t="s">
        <v>488</v>
      </c>
      <c r="D34" s="12" t="n">
        <v>37385</v>
      </c>
      <c r="E34" s="11" t="s">
        <v>478</v>
      </c>
      <c r="F34" s="11" t="s">
        <v>165</v>
      </c>
      <c r="G34" s="11" t="s">
        <v>489</v>
      </c>
      <c r="H34" s="11" t="n">
        <v>9707809</v>
      </c>
      <c r="I34" s="11" t="n">
        <v>72279</v>
      </c>
      <c r="J34" s="11" t="n">
        <v>287</v>
      </c>
      <c r="K34" s="11" t="s">
        <v>22</v>
      </c>
      <c r="L34" s="11" t="s">
        <v>282</v>
      </c>
      <c r="M34" s="24" t="n">
        <v>45720</v>
      </c>
      <c r="N34" s="25" t="n">
        <f aca="false">INT((M34-D34)/365.25)</f>
        <v>22</v>
      </c>
      <c r="O34" s="12" t="s">
        <v>30</v>
      </c>
      <c r="P34" s="12" t="s">
        <v>22</v>
      </c>
    </row>
    <row r="35" customFormat="false" ht="15" hidden="false" customHeight="false" outlineLevel="0" collapsed="false">
      <c r="A35" s="23" t="n">
        <v>31</v>
      </c>
      <c r="B35" s="11" t="n">
        <v>867002</v>
      </c>
      <c r="C35" s="11" t="s">
        <v>490</v>
      </c>
      <c r="D35" s="12" t="n">
        <v>33345</v>
      </c>
      <c r="E35" s="11" t="s">
        <v>491</v>
      </c>
      <c r="F35" s="11" t="s">
        <v>165</v>
      </c>
      <c r="G35" s="11" t="s">
        <v>492</v>
      </c>
      <c r="H35" s="11" t="n">
        <v>6826315</v>
      </c>
      <c r="I35" s="11" t="n">
        <v>76905</v>
      </c>
      <c r="J35" s="11" t="n">
        <v>67</v>
      </c>
      <c r="K35" s="11" t="s">
        <v>22</v>
      </c>
      <c r="L35" s="11" t="s">
        <v>282</v>
      </c>
      <c r="M35" s="24" t="n">
        <v>45720</v>
      </c>
      <c r="N35" s="25" t="n">
        <f aca="false">INT((M35-D35)/365.25)</f>
        <v>33</v>
      </c>
      <c r="O35" s="12"/>
      <c r="P35" s="12" t="s">
        <v>22</v>
      </c>
    </row>
    <row r="36" customFormat="false" ht="15" hidden="false" customHeight="false" outlineLevel="0" collapsed="false">
      <c r="A36" s="23" t="n">
        <v>32</v>
      </c>
      <c r="B36" s="11" t="n">
        <v>838676</v>
      </c>
      <c r="C36" s="11" t="s">
        <v>493</v>
      </c>
      <c r="D36" s="12" t="n">
        <v>36608</v>
      </c>
      <c r="E36" s="11" t="s">
        <v>491</v>
      </c>
      <c r="F36" s="11" t="s">
        <v>165</v>
      </c>
      <c r="G36" s="11" t="s">
        <v>494</v>
      </c>
      <c r="H36" s="11" t="n">
        <v>8644694</v>
      </c>
      <c r="I36" s="11" t="n">
        <v>524102</v>
      </c>
      <c r="J36" s="11" t="n">
        <v>3259</v>
      </c>
      <c r="K36" s="11" t="s">
        <v>22</v>
      </c>
      <c r="L36" s="11" t="s">
        <v>282</v>
      </c>
      <c r="M36" s="24" t="n">
        <v>45720</v>
      </c>
      <c r="N36" s="25" t="n">
        <f aca="false">INT((M36-D36)/365.25)</f>
        <v>24</v>
      </c>
      <c r="O36" s="12" t="s">
        <v>30</v>
      </c>
      <c r="P36" s="12" t="s">
        <v>22</v>
      </c>
    </row>
    <row r="37" customFormat="false" ht="15" hidden="false" customHeight="false" outlineLevel="0" collapsed="false">
      <c r="A37" s="23" t="n">
        <v>33</v>
      </c>
      <c r="B37" s="11" t="n">
        <v>866618</v>
      </c>
      <c r="C37" s="11" t="s">
        <v>495</v>
      </c>
      <c r="D37" s="12" t="n">
        <v>37017</v>
      </c>
      <c r="E37" s="11" t="s">
        <v>491</v>
      </c>
      <c r="F37" s="11" t="s">
        <v>165</v>
      </c>
      <c r="G37" s="11" t="s">
        <v>496</v>
      </c>
      <c r="H37" s="11" t="n">
        <v>8619168</v>
      </c>
      <c r="I37" s="11" t="n">
        <v>597241</v>
      </c>
      <c r="J37" s="11" t="n">
        <v>230</v>
      </c>
      <c r="K37" s="11" t="s">
        <v>22</v>
      </c>
      <c r="L37" s="11" t="s">
        <v>282</v>
      </c>
      <c r="M37" s="24" t="n">
        <v>45720</v>
      </c>
      <c r="N37" s="25" t="n">
        <f aca="false">INT((M37-D37)/365.25)</f>
        <v>23</v>
      </c>
      <c r="O37" s="12" t="s">
        <v>30</v>
      </c>
      <c r="P37" s="12" t="s">
        <v>22</v>
      </c>
    </row>
    <row r="38" customFormat="false" ht="15" hidden="false" customHeight="false" outlineLevel="0" collapsed="false">
      <c r="A38" s="23" t="n">
        <v>34</v>
      </c>
      <c r="B38" s="11" t="n">
        <v>846976</v>
      </c>
      <c r="C38" s="11" t="s">
        <v>497</v>
      </c>
      <c r="D38" s="12" t="n">
        <v>35632</v>
      </c>
      <c r="E38" s="11" t="s">
        <v>491</v>
      </c>
      <c r="F38" s="11" t="s">
        <v>165</v>
      </c>
      <c r="G38" s="11" t="s">
        <v>498</v>
      </c>
      <c r="H38" s="11" t="n">
        <v>8107481</v>
      </c>
      <c r="I38" s="11" t="n">
        <v>555010</v>
      </c>
      <c r="J38" s="11" t="n">
        <v>5209</v>
      </c>
      <c r="K38" s="11" t="s">
        <v>22</v>
      </c>
      <c r="L38" s="11" t="s">
        <v>282</v>
      </c>
      <c r="M38" s="24" t="n">
        <v>45720</v>
      </c>
      <c r="N38" s="25" t="n">
        <f aca="false">INT((M38-D38)/365.25)</f>
        <v>27</v>
      </c>
      <c r="O38" s="12" t="s">
        <v>30</v>
      </c>
      <c r="P38" s="12" t="s">
        <v>22</v>
      </c>
    </row>
    <row r="39" customFormat="false" ht="15" hidden="false" customHeight="false" outlineLevel="0" collapsed="false">
      <c r="A39" s="23" t="n">
        <v>35</v>
      </c>
      <c r="B39" s="11" t="n">
        <v>866863</v>
      </c>
      <c r="C39" s="11" t="s">
        <v>499</v>
      </c>
      <c r="D39" s="12" t="n">
        <v>36690</v>
      </c>
      <c r="E39" s="11" t="s">
        <v>491</v>
      </c>
      <c r="F39" s="11" t="s">
        <v>165</v>
      </c>
      <c r="G39" s="11" t="s">
        <v>500</v>
      </c>
      <c r="H39" s="11" t="n">
        <v>8961436</v>
      </c>
      <c r="I39" s="11" t="n">
        <v>7095378</v>
      </c>
      <c r="J39" s="11" t="n">
        <v>1267</v>
      </c>
      <c r="K39" s="11" t="s">
        <v>22</v>
      </c>
      <c r="L39" s="11" t="s">
        <v>282</v>
      </c>
      <c r="M39" s="24" t="n">
        <v>45720</v>
      </c>
      <c r="N39" s="25" t="n">
        <f aca="false">INT((M39-D39)/365.25)</f>
        <v>24</v>
      </c>
      <c r="O39" s="12"/>
      <c r="P39" s="12" t="s">
        <v>22</v>
      </c>
    </row>
    <row r="40" customFormat="false" ht="15" hidden="false" customHeight="false" outlineLevel="0" collapsed="false">
      <c r="A40" s="23" t="n">
        <v>36</v>
      </c>
      <c r="B40" s="11" t="n">
        <v>866621</v>
      </c>
      <c r="C40" s="11" t="s">
        <v>501</v>
      </c>
      <c r="D40" s="12" t="n">
        <v>37576</v>
      </c>
      <c r="E40" s="11" t="s">
        <v>491</v>
      </c>
      <c r="F40" s="11" t="s">
        <v>165</v>
      </c>
      <c r="G40" s="11" t="s">
        <v>502</v>
      </c>
      <c r="H40" s="11" t="n">
        <v>8751806</v>
      </c>
      <c r="I40" s="11" t="n">
        <v>634885</v>
      </c>
      <c r="J40" s="11" t="n">
        <v>6267</v>
      </c>
      <c r="K40" s="11" t="s">
        <v>22</v>
      </c>
      <c r="L40" s="11" t="s">
        <v>282</v>
      </c>
      <c r="M40" s="24" t="n">
        <v>45720</v>
      </c>
      <c r="N40" s="25" t="n">
        <f aca="false">INT((M40-D40)/365.25)</f>
        <v>22</v>
      </c>
      <c r="O40" s="12" t="s">
        <v>30</v>
      </c>
      <c r="P40" s="12" t="s">
        <v>22</v>
      </c>
    </row>
    <row r="41" customFormat="false" ht="15" hidden="false" customHeight="false" outlineLevel="0" collapsed="false">
      <c r="A41" s="23" t="n">
        <v>37</v>
      </c>
      <c r="B41" s="11" t="n">
        <v>857433</v>
      </c>
      <c r="C41" s="11" t="s">
        <v>503</v>
      </c>
      <c r="D41" s="12" t="n">
        <v>37736</v>
      </c>
      <c r="E41" s="11" t="s">
        <v>491</v>
      </c>
      <c r="F41" s="11" t="s">
        <v>165</v>
      </c>
      <c r="G41" s="11" t="s">
        <v>504</v>
      </c>
      <c r="H41" s="11" t="n">
        <v>9543575</v>
      </c>
      <c r="I41" s="11" t="n">
        <v>684320</v>
      </c>
      <c r="J41" s="11" t="n">
        <v>9246</v>
      </c>
      <c r="K41" s="11" t="s">
        <v>22</v>
      </c>
      <c r="L41" s="11" t="s">
        <v>282</v>
      </c>
      <c r="M41" s="24" t="n">
        <v>45720</v>
      </c>
      <c r="N41" s="25" t="n">
        <f aca="false">INT((M41-D41)/365.25)</f>
        <v>21</v>
      </c>
      <c r="O41" s="12"/>
      <c r="P41" s="12" t="s">
        <v>22</v>
      </c>
    </row>
    <row r="42" customFormat="false" ht="15" hidden="false" customHeight="false" outlineLevel="0" collapsed="false">
      <c r="A42" s="23" t="n">
        <v>38</v>
      </c>
      <c r="B42" s="10" t="n">
        <v>866838</v>
      </c>
      <c r="C42" s="11" t="s">
        <v>505</v>
      </c>
      <c r="D42" s="12" t="n">
        <v>34177</v>
      </c>
      <c r="E42" s="11" t="s">
        <v>506</v>
      </c>
      <c r="F42" s="11" t="s">
        <v>165</v>
      </c>
      <c r="G42" s="11" t="s">
        <v>507</v>
      </c>
      <c r="H42" s="11" t="n">
        <v>7472565</v>
      </c>
      <c r="I42" s="11" t="n">
        <v>440445</v>
      </c>
      <c r="J42" s="11" t="n">
        <v>8258</v>
      </c>
      <c r="K42" s="11" t="s">
        <v>22</v>
      </c>
      <c r="L42" s="11" t="s">
        <v>282</v>
      </c>
      <c r="M42" s="24" t="n">
        <v>45720</v>
      </c>
      <c r="N42" s="25" t="n">
        <f aca="false">INT((M42-D42)/365.25)</f>
        <v>31</v>
      </c>
      <c r="O42" s="12" t="s">
        <v>30</v>
      </c>
      <c r="P42" s="12" t="s">
        <v>22</v>
      </c>
    </row>
    <row r="43" customFormat="false" ht="15" hidden="false" customHeight="false" outlineLevel="0" collapsed="false">
      <c r="A43" s="23" t="n">
        <v>39</v>
      </c>
      <c r="B43" s="11" t="n">
        <v>852478</v>
      </c>
      <c r="C43" s="11" t="s">
        <v>508</v>
      </c>
      <c r="D43" s="12" t="n">
        <v>35612</v>
      </c>
      <c r="E43" s="11" t="s">
        <v>506</v>
      </c>
      <c r="F43" s="11" t="s">
        <v>165</v>
      </c>
      <c r="G43" s="11" t="s">
        <v>509</v>
      </c>
      <c r="H43" s="11" t="n">
        <v>8011964</v>
      </c>
      <c r="I43" s="11" t="n">
        <v>7022227</v>
      </c>
      <c r="J43" s="11" t="n">
        <v>5278</v>
      </c>
      <c r="K43" s="11" t="s">
        <v>22</v>
      </c>
      <c r="L43" s="11" t="s">
        <v>282</v>
      </c>
      <c r="M43" s="24" t="n">
        <v>45720</v>
      </c>
      <c r="N43" s="25" t="n">
        <f aca="false">INT((M43-D43)/365.25)</f>
        <v>27</v>
      </c>
      <c r="O43" s="12" t="s">
        <v>30</v>
      </c>
      <c r="P43" s="12" t="s">
        <v>22</v>
      </c>
    </row>
    <row r="44" customFormat="false" ht="15" hidden="false" customHeight="false" outlineLevel="0" collapsed="false">
      <c r="A44" s="23" t="n">
        <v>40</v>
      </c>
      <c r="B44" s="11" t="n">
        <v>857461</v>
      </c>
      <c r="C44" s="11" t="s">
        <v>510</v>
      </c>
      <c r="D44" s="12" t="n">
        <v>32018</v>
      </c>
      <c r="E44" s="11" t="s">
        <v>506</v>
      </c>
      <c r="F44" s="11" t="s">
        <v>165</v>
      </c>
      <c r="G44" s="11" t="s">
        <v>511</v>
      </c>
      <c r="H44" s="11" t="n">
        <v>7579135</v>
      </c>
      <c r="I44" s="11" t="n">
        <v>303545</v>
      </c>
      <c r="J44" s="11" t="n">
        <v>8286</v>
      </c>
      <c r="K44" s="11" t="s">
        <v>22</v>
      </c>
      <c r="L44" s="11" t="s">
        <v>282</v>
      </c>
      <c r="M44" s="24" t="n">
        <v>45720</v>
      </c>
      <c r="N44" s="25" t="n">
        <f aca="false">INT((M44-D44)/365.25)</f>
        <v>37</v>
      </c>
      <c r="O44" s="12" t="s">
        <v>30</v>
      </c>
      <c r="P44" s="12" t="s">
        <v>22</v>
      </c>
    </row>
  </sheetData>
  <autoFilter ref="K1:K43"/>
  <mergeCells count="1">
    <mergeCell ref="A1:P2"/>
  </mergeCells>
  <conditionalFormatting sqref="N5:N44">
    <cfRule type="colorScale" priority="2">
      <colorScale>
        <cfvo type="num" val="17"/>
        <cfvo type="num" val="18"/>
        <color rgb="FFFF0000"/>
        <color rgb="FF92D050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33" man="true" max="16383" min="0"/>
    <brk id="41" man="true" max="16383" min="0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true"/>
  </sheetPr>
  <dimension ref="A1:P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66" activeCellId="0" sqref="H66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6.71"/>
    <col collapsed="false" customWidth="true" hidden="false" outlineLevel="0" max="3" min="3" style="0" width="34.14"/>
    <col collapsed="false" customWidth="true" hidden="false" outlineLevel="0" max="4" min="4" style="0" width="9"/>
    <col collapsed="false" customWidth="true" hidden="false" outlineLevel="0" max="5" min="5" style="0" width="16.14"/>
    <col collapsed="false" customWidth="true" hidden="false" outlineLevel="0" max="6" min="6" style="0" width="6.43"/>
    <col collapsed="false" customWidth="true" hidden="false" outlineLevel="0" max="7" min="7" style="0" width="11.86"/>
    <col collapsed="false" customWidth="true" hidden="false" outlineLevel="0" max="8" min="8" style="0" width="12.72"/>
    <col collapsed="false" customWidth="true" hidden="false" outlineLevel="0" max="9" min="9" style="0" width="9.57"/>
    <col collapsed="false" customWidth="true" hidden="false" outlineLevel="0" max="10" min="10" style="0" width="5"/>
    <col collapsed="false" customWidth="true" hidden="false" outlineLevel="0" max="11" min="11" style="0" width="5.29"/>
    <col collapsed="false" customWidth="true" hidden="false" outlineLevel="0" max="12" min="12" style="0" width="17.57"/>
    <col collapsed="false" customWidth="true" hidden="false" outlineLevel="0" max="13" min="13" style="0" width="9.29"/>
    <col collapsed="false" customWidth="true" hidden="false" outlineLevel="0" max="14" min="14" style="0" width="8"/>
    <col collapsed="false" customWidth="true" hidden="true" outlineLevel="0" max="15" min="15" style="0" width="11.86"/>
    <col collapsed="false" customWidth="true" hidden="false" outlineLevel="0" max="16" min="16" style="0" width="6.86"/>
  </cols>
  <sheetData>
    <row r="1" customFormat="false" ht="15" hidden="false" customHeight="false" outlineLevel="0" collapsed="false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customFormat="false" ht="15" hidden="false" customHeight="false" outlineLevel="0" collapsed="false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customFormat="false" ht="15" hidden="true" customHeight="false" outlineLevel="0" collapsed="false">
      <c r="A3" s="19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20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167</v>
      </c>
      <c r="P3" s="6" t="s">
        <v>16</v>
      </c>
    </row>
    <row r="4" customFormat="false" ht="15" hidden="true" customHeight="false" outlineLevel="0" collapsed="false">
      <c r="A4" s="21"/>
      <c r="B4" s="2"/>
      <c r="C4" s="6" t="s">
        <v>425</v>
      </c>
      <c r="D4" s="7"/>
      <c r="E4" s="2"/>
      <c r="F4" s="2"/>
      <c r="G4" s="2"/>
      <c r="H4" s="2"/>
      <c r="I4" s="2"/>
      <c r="J4" s="2"/>
      <c r="K4" s="2"/>
      <c r="L4" s="8"/>
      <c r="M4" s="22"/>
      <c r="N4" s="6"/>
      <c r="O4" s="6"/>
      <c r="P4" s="6"/>
    </row>
    <row r="5" customFormat="false" ht="15" hidden="false" customHeight="false" outlineLevel="0" collapsed="false">
      <c r="A5" s="23" t="n">
        <v>1</v>
      </c>
      <c r="B5" s="10" t="n">
        <v>866609</v>
      </c>
      <c r="C5" s="11" t="s">
        <v>512</v>
      </c>
      <c r="D5" s="12" t="n">
        <v>37255</v>
      </c>
      <c r="E5" s="11" t="s">
        <v>280</v>
      </c>
      <c r="F5" s="11" t="s">
        <v>165</v>
      </c>
      <c r="G5" s="11" t="s">
        <v>513</v>
      </c>
      <c r="H5" s="11" t="n">
        <v>9816593</v>
      </c>
      <c r="I5" s="11" t="n">
        <v>935785</v>
      </c>
      <c r="J5" s="11" t="n">
        <v>1240</v>
      </c>
      <c r="K5" s="11" t="s">
        <v>30</v>
      </c>
      <c r="L5" s="11" t="s">
        <v>282</v>
      </c>
      <c r="M5" s="24" t="n">
        <v>45720</v>
      </c>
      <c r="N5" s="25" t="n">
        <f aca="false">INT((M5-D5)/365.25)</f>
        <v>23</v>
      </c>
      <c r="O5" s="12" t="s">
        <v>30</v>
      </c>
      <c r="P5" s="12" t="s">
        <v>22</v>
      </c>
    </row>
    <row r="6" customFormat="false" ht="15" hidden="true" customHeight="false" outlineLevel="0" collapsed="false">
      <c r="A6" s="23" t="n">
        <v>2</v>
      </c>
      <c r="B6" s="10" t="n">
        <v>866838</v>
      </c>
      <c r="C6" s="34" t="s">
        <v>505</v>
      </c>
      <c r="D6" s="12" t="n">
        <v>34177</v>
      </c>
      <c r="E6" s="11" t="s">
        <v>280</v>
      </c>
      <c r="F6" s="11" t="s">
        <v>165</v>
      </c>
      <c r="G6" s="11" t="s">
        <v>507</v>
      </c>
      <c r="H6" s="11" t="n">
        <v>7472565</v>
      </c>
      <c r="I6" s="11" t="n">
        <v>440445</v>
      </c>
      <c r="J6" s="11" t="n">
        <v>8258</v>
      </c>
      <c r="K6" s="11" t="s">
        <v>30</v>
      </c>
      <c r="L6" s="11" t="s">
        <v>282</v>
      </c>
      <c r="M6" s="24" t="n">
        <v>45720</v>
      </c>
      <c r="N6" s="25" t="n">
        <f aca="false">INT((M6-D6)/365.25)</f>
        <v>31</v>
      </c>
      <c r="O6" s="12" t="s">
        <v>30</v>
      </c>
      <c r="P6" s="12" t="s">
        <v>22</v>
      </c>
    </row>
    <row r="7" customFormat="false" ht="15" hidden="true" customHeight="false" outlineLevel="0" collapsed="false">
      <c r="A7" s="23" t="n">
        <v>3</v>
      </c>
      <c r="B7" s="11" t="n">
        <v>852478</v>
      </c>
      <c r="C7" s="34" t="s">
        <v>508</v>
      </c>
      <c r="D7" s="12" t="n">
        <v>35612</v>
      </c>
      <c r="E7" s="11" t="s">
        <v>280</v>
      </c>
      <c r="F7" s="11" t="s">
        <v>165</v>
      </c>
      <c r="G7" s="11" t="s">
        <v>509</v>
      </c>
      <c r="H7" s="11" t="n">
        <v>8011964</v>
      </c>
      <c r="I7" s="11" t="n">
        <v>7022227</v>
      </c>
      <c r="J7" s="11" t="n">
        <v>5278</v>
      </c>
      <c r="K7" s="11" t="s">
        <v>22</v>
      </c>
      <c r="L7" s="11" t="s">
        <v>282</v>
      </c>
      <c r="M7" s="24" t="n">
        <v>45720</v>
      </c>
      <c r="N7" s="25" t="n">
        <f aca="false">INT((M7-D7)/365.25)</f>
        <v>27</v>
      </c>
      <c r="O7" s="12" t="s">
        <v>30</v>
      </c>
      <c r="P7" s="12" t="s">
        <v>22</v>
      </c>
    </row>
    <row r="8" customFormat="false" ht="15" hidden="true" customHeight="false" outlineLevel="0" collapsed="false">
      <c r="A8" s="23" t="n">
        <v>4</v>
      </c>
      <c r="B8" s="11" t="n">
        <v>857461</v>
      </c>
      <c r="C8" s="34" t="s">
        <v>510</v>
      </c>
      <c r="D8" s="12" t="n">
        <v>32018</v>
      </c>
      <c r="E8" s="11" t="s">
        <v>280</v>
      </c>
      <c r="F8" s="11" t="s">
        <v>165</v>
      </c>
      <c r="G8" s="11" t="s">
        <v>511</v>
      </c>
      <c r="H8" s="11" t="n">
        <v>7579135</v>
      </c>
      <c r="I8" s="11" t="n">
        <v>303545</v>
      </c>
      <c r="J8" s="11" t="n">
        <v>8286</v>
      </c>
      <c r="K8" s="11" t="s">
        <v>22</v>
      </c>
      <c r="L8" s="11" t="s">
        <v>282</v>
      </c>
      <c r="M8" s="24" t="n">
        <v>45720</v>
      </c>
      <c r="N8" s="25" t="n">
        <f aca="false">INT((M8-D8)/365.25)</f>
        <v>37</v>
      </c>
      <c r="O8" s="12" t="s">
        <v>30</v>
      </c>
      <c r="P8" s="12" t="s">
        <v>22</v>
      </c>
    </row>
    <row r="9" customFormat="false" ht="15" hidden="true" customHeight="false" outlineLevel="0" collapsed="false">
      <c r="A9" s="23" t="n">
        <v>5</v>
      </c>
      <c r="B9" s="11" t="n">
        <v>866600</v>
      </c>
      <c r="C9" s="34" t="s">
        <v>426</v>
      </c>
      <c r="D9" s="12" t="n">
        <v>38734</v>
      </c>
      <c r="E9" s="11" t="s">
        <v>427</v>
      </c>
      <c r="F9" s="11" t="s">
        <v>165</v>
      </c>
      <c r="G9" s="11" t="s">
        <v>428</v>
      </c>
      <c r="H9" s="11" t="n">
        <v>10431124</v>
      </c>
      <c r="I9" s="11" t="n">
        <v>7046464</v>
      </c>
      <c r="J9" s="11" t="n">
        <v>229</v>
      </c>
      <c r="K9" s="11" t="s">
        <v>22</v>
      </c>
      <c r="L9" s="11" t="s">
        <v>282</v>
      </c>
      <c r="M9" s="24" t="n">
        <v>45720</v>
      </c>
      <c r="N9" s="25" t="n">
        <f aca="false">INT((M9-D9)/365.25)</f>
        <v>19</v>
      </c>
      <c r="O9" s="12" t="s">
        <v>30</v>
      </c>
      <c r="P9" s="12" t="s">
        <v>22</v>
      </c>
    </row>
    <row r="10" customFormat="false" ht="15" hidden="true" customHeight="false" outlineLevel="0" collapsed="false">
      <c r="A10" s="23" t="n">
        <v>3</v>
      </c>
      <c r="B10" s="11" t="n">
        <v>866635</v>
      </c>
      <c r="C10" s="34" t="s">
        <v>429</v>
      </c>
      <c r="D10" s="12" t="n">
        <v>37899</v>
      </c>
      <c r="E10" s="11" t="s">
        <v>427</v>
      </c>
      <c r="F10" s="11" t="s">
        <v>165</v>
      </c>
      <c r="G10" s="11" t="s">
        <v>430</v>
      </c>
      <c r="H10" s="11" t="n">
        <v>9707795</v>
      </c>
      <c r="I10" s="11" t="n">
        <v>956081</v>
      </c>
      <c r="J10" s="11" t="n">
        <v>1266</v>
      </c>
      <c r="K10" s="11" t="s">
        <v>30</v>
      </c>
      <c r="L10" s="11" t="s">
        <v>282</v>
      </c>
      <c r="M10" s="24" t="n">
        <v>45720</v>
      </c>
      <c r="N10" s="25" t="n">
        <f aca="false">INT((M10-D10)/365.25)</f>
        <v>21</v>
      </c>
      <c r="O10" s="12" t="s">
        <v>30</v>
      </c>
      <c r="P10" s="12" t="s">
        <v>22</v>
      </c>
    </row>
    <row r="11" customFormat="false" ht="15" hidden="false" customHeight="false" outlineLevel="0" collapsed="false">
      <c r="A11" s="23" t="n">
        <v>4</v>
      </c>
      <c r="B11" s="11" t="n">
        <v>866627</v>
      </c>
      <c r="C11" s="11" t="s">
        <v>514</v>
      </c>
      <c r="D11" s="12" t="n">
        <v>36624</v>
      </c>
      <c r="E11" s="11" t="s">
        <v>427</v>
      </c>
      <c r="F11" s="11" t="s">
        <v>165</v>
      </c>
      <c r="G11" s="11" t="s">
        <v>515</v>
      </c>
      <c r="H11" s="11" t="n">
        <v>9013132</v>
      </c>
      <c r="I11" s="11" t="n">
        <v>7094569</v>
      </c>
      <c r="J11" s="11" t="n">
        <v>4245</v>
      </c>
      <c r="K11" s="11" t="s">
        <v>30</v>
      </c>
      <c r="L11" s="11" t="s">
        <v>282</v>
      </c>
      <c r="M11" s="24" t="n">
        <v>45720</v>
      </c>
      <c r="N11" s="25" t="n">
        <f aca="false">INT((M11-D11)/365.25)</f>
        <v>24</v>
      </c>
      <c r="O11" s="12" t="s">
        <v>30</v>
      </c>
      <c r="P11" s="12" t="s">
        <v>22</v>
      </c>
    </row>
    <row r="12" customFormat="false" ht="15" hidden="true" customHeight="false" outlineLevel="0" collapsed="false">
      <c r="A12" s="23" t="n">
        <v>8</v>
      </c>
      <c r="B12" s="11" t="n">
        <v>866602</v>
      </c>
      <c r="C12" s="34" t="s">
        <v>431</v>
      </c>
      <c r="D12" s="12" t="n">
        <v>37541</v>
      </c>
      <c r="E12" s="11" t="s">
        <v>427</v>
      </c>
      <c r="F12" s="11" t="s">
        <v>165</v>
      </c>
      <c r="G12" s="11" t="s">
        <v>432</v>
      </c>
      <c r="H12" s="11" t="n">
        <v>8495768</v>
      </c>
      <c r="I12" s="11" t="n">
        <v>544549</v>
      </c>
      <c r="J12" s="11" t="n">
        <v>4225</v>
      </c>
      <c r="K12" s="11" t="s">
        <v>22</v>
      </c>
      <c r="L12" s="11" t="s">
        <v>282</v>
      </c>
      <c r="M12" s="24" t="n">
        <v>45720</v>
      </c>
      <c r="N12" s="25" t="n">
        <f aca="false">INT((M12-D12)/365.25)</f>
        <v>22</v>
      </c>
      <c r="O12" s="12" t="s">
        <v>30</v>
      </c>
      <c r="P12" s="12" t="s">
        <v>22</v>
      </c>
    </row>
    <row r="13" customFormat="false" ht="15" hidden="true" customHeight="false" outlineLevel="0" collapsed="false">
      <c r="A13" s="23" t="n">
        <v>9</v>
      </c>
      <c r="B13" s="11" t="n">
        <v>846246</v>
      </c>
      <c r="C13" s="34" t="s">
        <v>433</v>
      </c>
      <c r="D13" s="12" t="n">
        <v>37025</v>
      </c>
      <c r="E13" s="11" t="s">
        <v>427</v>
      </c>
      <c r="F13" s="11" t="s">
        <v>165</v>
      </c>
      <c r="G13" s="11" t="s">
        <v>434</v>
      </c>
      <c r="H13" s="11" t="n">
        <v>10140711</v>
      </c>
      <c r="I13" s="11" t="n">
        <v>915403</v>
      </c>
      <c r="J13" s="11" t="n">
        <v>9274</v>
      </c>
      <c r="K13" s="11" t="s">
        <v>22</v>
      </c>
      <c r="L13" s="11" t="s">
        <v>282</v>
      </c>
      <c r="M13" s="24" t="n">
        <v>45720</v>
      </c>
      <c r="N13" s="25" t="n">
        <f aca="false">INT((M13-D13)/365.25)</f>
        <v>23</v>
      </c>
      <c r="O13" s="12" t="s">
        <v>30</v>
      </c>
      <c r="P13" s="12" t="s">
        <v>22</v>
      </c>
    </row>
    <row r="14" customFormat="false" ht="15" hidden="true" customHeight="false" outlineLevel="0" collapsed="false">
      <c r="A14" s="23" t="n">
        <v>5</v>
      </c>
      <c r="B14" s="11" t="n">
        <v>866628</v>
      </c>
      <c r="C14" s="34" t="s">
        <v>435</v>
      </c>
      <c r="D14" s="12" t="n">
        <v>38510</v>
      </c>
      <c r="E14" s="11" t="s">
        <v>427</v>
      </c>
      <c r="F14" s="11" t="s">
        <v>165</v>
      </c>
      <c r="G14" s="11" t="s">
        <v>436</v>
      </c>
      <c r="H14" s="11" t="n">
        <v>10259539</v>
      </c>
      <c r="I14" s="11" t="n">
        <v>7124760</v>
      </c>
      <c r="J14" s="11" t="n">
        <v>6236</v>
      </c>
      <c r="K14" s="11" t="s">
        <v>30</v>
      </c>
      <c r="L14" s="11" t="s">
        <v>282</v>
      </c>
      <c r="M14" s="24" t="n">
        <v>45720</v>
      </c>
      <c r="N14" s="25" t="n">
        <f aca="false">INT((M14-D14)/365.25)</f>
        <v>19</v>
      </c>
      <c r="O14" s="12" t="s">
        <v>30</v>
      </c>
      <c r="P14" s="12" t="s">
        <v>22</v>
      </c>
    </row>
    <row r="15" customFormat="false" ht="15" hidden="false" customHeight="false" outlineLevel="0" collapsed="false">
      <c r="A15" s="23" t="n">
        <v>11</v>
      </c>
      <c r="B15" s="11" t="n">
        <v>866603</v>
      </c>
      <c r="C15" s="11" t="s">
        <v>449</v>
      </c>
      <c r="D15" s="12" t="n">
        <v>38794</v>
      </c>
      <c r="E15" s="11" t="s">
        <v>427</v>
      </c>
      <c r="F15" s="11" t="s">
        <v>165</v>
      </c>
      <c r="G15" s="11" t="s">
        <v>450</v>
      </c>
      <c r="H15" s="11" t="n">
        <v>10311495</v>
      </c>
      <c r="I15" s="11" t="n">
        <v>838275</v>
      </c>
      <c r="J15" s="11" t="n">
        <v>5240</v>
      </c>
      <c r="K15" s="11" t="s">
        <v>22</v>
      </c>
      <c r="L15" s="11" t="s">
        <v>282</v>
      </c>
      <c r="M15" s="24" t="n">
        <v>45720</v>
      </c>
      <c r="N15" s="25" t="n">
        <f aca="false">INT((M15-D15)/365.25)</f>
        <v>18</v>
      </c>
      <c r="O15" s="12" t="s">
        <v>30</v>
      </c>
      <c r="P15" s="12" t="s">
        <v>22</v>
      </c>
    </row>
    <row r="16" customFormat="false" ht="15" hidden="true" customHeight="false" outlineLevel="0" collapsed="false">
      <c r="A16" s="23" t="n">
        <v>6</v>
      </c>
      <c r="B16" s="11" t="n">
        <v>866767</v>
      </c>
      <c r="C16" s="34" t="s">
        <v>437</v>
      </c>
      <c r="D16" s="12" t="n">
        <v>27347</v>
      </c>
      <c r="E16" s="11" t="s">
        <v>427</v>
      </c>
      <c r="F16" s="11" t="s">
        <v>165</v>
      </c>
      <c r="G16" s="11" t="s">
        <v>438</v>
      </c>
      <c r="H16" s="11" t="n">
        <v>2553631</v>
      </c>
      <c r="I16" s="11" t="n">
        <v>85670</v>
      </c>
      <c r="J16" s="11" t="n">
        <v>35</v>
      </c>
      <c r="K16" s="11" t="s">
        <v>30</v>
      </c>
      <c r="L16" s="11" t="s">
        <v>282</v>
      </c>
      <c r="M16" s="24" t="n">
        <v>45720</v>
      </c>
      <c r="N16" s="25" t="n">
        <f aca="false">INT((M16-D16)/365.25)</f>
        <v>50</v>
      </c>
      <c r="O16" s="12"/>
      <c r="P16" s="12" t="s">
        <v>22</v>
      </c>
    </row>
    <row r="17" customFormat="false" ht="15" hidden="false" customHeight="false" outlineLevel="0" collapsed="false">
      <c r="A17" s="23" t="n">
        <v>7</v>
      </c>
      <c r="B17" s="11" t="n">
        <v>866615</v>
      </c>
      <c r="C17" s="11" t="s">
        <v>516</v>
      </c>
      <c r="D17" s="12" t="n">
        <v>37306</v>
      </c>
      <c r="E17" s="11" t="s">
        <v>427</v>
      </c>
      <c r="F17" s="11" t="s">
        <v>165</v>
      </c>
      <c r="G17" s="11" t="s">
        <v>517</v>
      </c>
      <c r="H17" s="11" t="n">
        <v>9504960</v>
      </c>
      <c r="I17" s="11" t="n">
        <v>1015554</v>
      </c>
      <c r="J17" s="11" t="n">
        <v>3261</v>
      </c>
      <c r="K17" s="11" t="s">
        <v>30</v>
      </c>
      <c r="L17" s="11" t="s">
        <v>282</v>
      </c>
      <c r="M17" s="24" t="n">
        <v>45720</v>
      </c>
      <c r="N17" s="25" t="n">
        <f aca="false">INT((M17-D17)/365.25)</f>
        <v>23</v>
      </c>
      <c r="O17" s="12" t="s">
        <v>30</v>
      </c>
      <c r="P17" s="12" t="s">
        <v>22</v>
      </c>
    </row>
    <row r="18" customFormat="false" ht="15" hidden="true" customHeight="false" outlineLevel="0" collapsed="false">
      <c r="A18" s="23" t="n">
        <v>14</v>
      </c>
      <c r="B18" s="11" t="n">
        <v>846278</v>
      </c>
      <c r="C18" s="34" t="s">
        <v>439</v>
      </c>
      <c r="D18" s="12" t="n">
        <v>37637</v>
      </c>
      <c r="E18" s="11" t="s">
        <v>427</v>
      </c>
      <c r="F18" s="11" t="s">
        <v>165</v>
      </c>
      <c r="G18" s="11" t="s">
        <v>440</v>
      </c>
      <c r="H18" s="11" t="n">
        <v>9597903</v>
      </c>
      <c r="I18" s="11" t="n">
        <v>892404</v>
      </c>
      <c r="J18" s="11" t="n">
        <v>4265</v>
      </c>
      <c r="K18" s="11" t="s">
        <v>22</v>
      </c>
      <c r="L18" s="11" t="s">
        <v>282</v>
      </c>
      <c r="M18" s="24" t="n">
        <v>45720</v>
      </c>
      <c r="N18" s="25" t="n">
        <f aca="false">INT((M18-D18)/365.25)</f>
        <v>22</v>
      </c>
      <c r="O18" s="12" t="s">
        <v>30</v>
      </c>
      <c r="P18" s="12" t="s">
        <v>22</v>
      </c>
    </row>
    <row r="19" customFormat="false" ht="15" hidden="true" customHeight="false" outlineLevel="0" collapsed="false">
      <c r="A19" s="23" t="n">
        <v>8</v>
      </c>
      <c r="B19" s="11" t="n">
        <v>866939</v>
      </c>
      <c r="C19" s="34" t="s">
        <v>441</v>
      </c>
      <c r="D19" s="12" t="n">
        <v>32876</v>
      </c>
      <c r="E19" s="11" t="s">
        <v>427</v>
      </c>
      <c r="F19" s="11" t="s">
        <v>165</v>
      </c>
      <c r="G19" s="11" t="s">
        <v>442</v>
      </c>
      <c r="H19" s="11" t="n">
        <v>4976515</v>
      </c>
      <c r="I19" s="11" t="n">
        <v>14596</v>
      </c>
      <c r="J19" s="11" t="n">
        <v>70</v>
      </c>
      <c r="K19" s="11" t="s">
        <v>30</v>
      </c>
      <c r="L19" s="11" t="s">
        <v>282</v>
      </c>
      <c r="M19" s="24" t="n">
        <v>45720</v>
      </c>
      <c r="N19" s="25" t="n">
        <f aca="false">INT((M19-D19)/365.25)</f>
        <v>35</v>
      </c>
      <c r="O19" s="12" t="s">
        <v>30</v>
      </c>
      <c r="P19" s="12" t="s">
        <v>22</v>
      </c>
    </row>
    <row r="20" customFormat="false" ht="15" hidden="false" customHeight="false" outlineLevel="0" collapsed="false">
      <c r="A20" s="23" t="n">
        <v>16</v>
      </c>
      <c r="B20" s="11" t="n">
        <v>866612</v>
      </c>
      <c r="C20" s="11" t="s">
        <v>518</v>
      </c>
      <c r="D20" s="12" t="n">
        <v>37548</v>
      </c>
      <c r="E20" s="11" t="s">
        <v>427</v>
      </c>
      <c r="F20" s="11" t="s">
        <v>165</v>
      </c>
      <c r="G20" s="11" t="s">
        <v>519</v>
      </c>
      <c r="H20" s="11" t="n">
        <v>9572158</v>
      </c>
      <c r="I20" s="11" t="n">
        <v>828069</v>
      </c>
      <c r="J20" s="11" t="n">
        <v>4250</v>
      </c>
      <c r="K20" s="11" t="s">
        <v>22</v>
      </c>
      <c r="L20" s="11" t="s">
        <v>282</v>
      </c>
      <c r="M20" s="24" t="n">
        <v>45720</v>
      </c>
      <c r="N20" s="25" t="n">
        <f aca="false">INT((M20-D20)/365.25)</f>
        <v>22</v>
      </c>
      <c r="O20" s="12" t="s">
        <v>30</v>
      </c>
      <c r="P20" s="12" t="s">
        <v>22</v>
      </c>
    </row>
    <row r="21" customFormat="false" ht="15" hidden="true" customHeight="false" outlineLevel="0" collapsed="false">
      <c r="A21" s="23" t="n">
        <v>9</v>
      </c>
      <c r="B21" s="11" t="n">
        <v>866933</v>
      </c>
      <c r="C21" s="34" t="s">
        <v>443</v>
      </c>
      <c r="D21" s="12" t="n">
        <v>32497</v>
      </c>
      <c r="E21" s="11" t="s">
        <v>427</v>
      </c>
      <c r="F21" s="11" t="s">
        <v>165</v>
      </c>
      <c r="G21" s="11" t="s">
        <v>444</v>
      </c>
      <c r="H21" s="11" t="n">
        <v>6112347</v>
      </c>
      <c r="I21" s="11" t="n">
        <v>120343</v>
      </c>
      <c r="J21" s="11" t="n">
        <v>4286</v>
      </c>
      <c r="K21" s="11" t="s">
        <v>30</v>
      </c>
      <c r="L21" s="11" t="s">
        <v>282</v>
      </c>
      <c r="M21" s="24" t="n">
        <v>45720</v>
      </c>
      <c r="N21" s="25" t="n">
        <f aca="false">INT((M21-D21)/365.25)</f>
        <v>36</v>
      </c>
      <c r="O21" s="12" t="s">
        <v>30</v>
      </c>
      <c r="P21" s="12" t="s">
        <v>22</v>
      </c>
    </row>
    <row r="22" customFormat="false" ht="15" hidden="false" customHeight="false" outlineLevel="0" collapsed="false">
      <c r="A22" s="23" t="n">
        <v>18</v>
      </c>
      <c r="B22" s="11" t="n">
        <v>819403</v>
      </c>
      <c r="C22" s="11" t="s">
        <v>447</v>
      </c>
      <c r="D22" s="12" t="n">
        <v>34827</v>
      </c>
      <c r="E22" s="11" t="s">
        <v>427</v>
      </c>
      <c r="F22" s="11" t="s">
        <v>165</v>
      </c>
      <c r="G22" s="11" t="s">
        <v>448</v>
      </c>
      <c r="H22" s="11" t="n">
        <v>8012890</v>
      </c>
      <c r="I22" s="11" t="n">
        <v>24453</v>
      </c>
      <c r="J22" s="11" t="n">
        <v>75</v>
      </c>
      <c r="K22" s="11" t="s">
        <v>22</v>
      </c>
      <c r="L22" s="11" t="s">
        <v>282</v>
      </c>
      <c r="M22" s="24" t="n">
        <v>45720</v>
      </c>
      <c r="N22" s="25" t="n">
        <f aca="false">INT((M22-D22)/365.25)</f>
        <v>29</v>
      </c>
      <c r="O22" s="12" t="s">
        <v>30</v>
      </c>
      <c r="P22" s="12" t="s">
        <v>22</v>
      </c>
    </row>
    <row r="23" customFormat="false" ht="15" hidden="true" customHeight="false" outlineLevel="0" collapsed="false">
      <c r="A23" s="23" t="n">
        <v>10</v>
      </c>
      <c r="B23" s="11" t="n">
        <v>866766</v>
      </c>
      <c r="C23" s="34" t="s">
        <v>520</v>
      </c>
      <c r="D23" s="12" t="n">
        <v>34980</v>
      </c>
      <c r="E23" s="11" t="s">
        <v>427</v>
      </c>
      <c r="F23" s="11" t="s">
        <v>165</v>
      </c>
      <c r="G23" s="11" t="s">
        <v>446</v>
      </c>
      <c r="H23" s="11" t="n">
        <v>9499449</v>
      </c>
      <c r="I23" s="11" t="n">
        <v>94647</v>
      </c>
      <c r="J23" s="11" t="n">
        <v>68</v>
      </c>
      <c r="K23" s="11" t="s">
        <v>30</v>
      </c>
      <c r="L23" s="11" t="s">
        <v>282</v>
      </c>
      <c r="M23" s="24" t="n">
        <v>45720</v>
      </c>
      <c r="N23" s="25" t="n">
        <f aca="false">INT((M23-D23)/365.25)</f>
        <v>29</v>
      </c>
      <c r="O23" s="12"/>
      <c r="P23" s="12" t="s">
        <v>22</v>
      </c>
    </row>
    <row r="24" customFormat="false" ht="15" hidden="true" customHeight="false" outlineLevel="0" collapsed="false">
      <c r="A24" s="23" t="n">
        <v>11</v>
      </c>
      <c r="B24" s="11" t="n">
        <v>866622</v>
      </c>
      <c r="C24" s="34" t="s">
        <v>451</v>
      </c>
      <c r="D24" s="12" t="n">
        <v>38826</v>
      </c>
      <c r="E24" s="11" t="s">
        <v>452</v>
      </c>
      <c r="F24" s="11" t="s">
        <v>165</v>
      </c>
      <c r="G24" s="11" t="s">
        <v>453</v>
      </c>
      <c r="H24" s="11" t="n">
        <v>9975537</v>
      </c>
      <c r="I24" s="11" t="n">
        <v>902917</v>
      </c>
      <c r="J24" s="11" t="n">
        <v>212</v>
      </c>
      <c r="K24" s="11" t="s">
        <v>30</v>
      </c>
      <c r="L24" s="11" t="s">
        <v>282</v>
      </c>
      <c r="M24" s="24" t="n">
        <v>45720</v>
      </c>
      <c r="N24" s="25" t="n">
        <f aca="false">INT((M24-D24)/365.25)</f>
        <v>18</v>
      </c>
      <c r="O24" s="12" t="s">
        <v>30</v>
      </c>
      <c r="P24" s="12" t="s">
        <v>22</v>
      </c>
    </row>
    <row r="25" customFormat="false" ht="15" hidden="true" customHeight="false" outlineLevel="0" collapsed="false">
      <c r="A25" s="23" t="n">
        <v>12</v>
      </c>
      <c r="B25" s="11" t="n">
        <v>866599</v>
      </c>
      <c r="C25" s="34" t="s">
        <v>454</v>
      </c>
      <c r="D25" s="12" t="n">
        <v>36499</v>
      </c>
      <c r="E25" s="11" t="s">
        <v>452</v>
      </c>
      <c r="F25" s="11" t="s">
        <v>165</v>
      </c>
      <c r="G25" s="11" t="s">
        <v>455</v>
      </c>
      <c r="H25" s="11" t="n">
        <v>7638923</v>
      </c>
      <c r="I25" s="11" t="n">
        <v>357058</v>
      </c>
      <c r="J25" s="11" t="n">
        <v>202</v>
      </c>
      <c r="K25" s="11" t="s">
        <v>30</v>
      </c>
      <c r="L25" s="11" t="s">
        <v>282</v>
      </c>
      <c r="M25" s="24" t="n">
        <v>45720</v>
      </c>
      <c r="N25" s="25" t="n">
        <f aca="false">INT((M25-D25)/365.25)</f>
        <v>25</v>
      </c>
      <c r="O25" s="12" t="s">
        <v>30</v>
      </c>
      <c r="P25" s="12" t="s">
        <v>22</v>
      </c>
    </row>
    <row r="26" customFormat="false" ht="15" hidden="false" customHeight="false" outlineLevel="0" collapsed="false">
      <c r="A26" s="23" t="n">
        <v>13</v>
      </c>
      <c r="B26" s="11" t="n">
        <v>866629</v>
      </c>
      <c r="C26" s="11" t="s">
        <v>456</v>
      </c>
      <c r="D26" s="12" t="n">
        <v>37271</v>
      </c>
      <c r="E26" s="11" t="s">
        <v>452</v>
      </c>
      <c r="F26" s="11" t="s">
        <v>165</v>
      </c>
      <c r="G26" s="11" t="s">
        <v>457</v>
      </c>
      <c r="H26" s="11" t="n">
        <v>9499452</v>
      </c>
      <c r="I26" s="11" t="n">
        <v>712364252</v>
      </c>
      <c r="J26" s="11" t="n">
        <v>5200</v>
      </c>
      <c r="K26" s="11" t="s">
        <v>30</v>
      </c>
      <c r="L26" s="11" t="s">
        <v>282</v>
      </c>
      <c r="M26" s="24" t="n">
        <v>45720</v>
      </c>
      <c r="N26" s="25" t="n">
        <f aca="false">INT((M26-D26)/365.25)</f>
        <v>23</v>
      </c>
      <c r="O26" s="12" t="s">
        <v>30</v>
      </c>
      <c r="P26" s="12" t="s">
        <v>22</v>
      </c>
    </row>
    <row r="27" customFormat="false" ht="15" hidden="true" customHeight="false" outlineLevel="0" collapsed="false">
      <c r="A27" s="23" t="n">
        <v>23</v>
      </c>
      <c r="B27" s="11" t="n">
        <v>866620</v>
      </c>
      <c r="C27" s="34" t="s">
        <v>458</v>
      </c>
      <c r="D27" s="12" t="n">
        <v>38646</v>
      </c>
      <c r="E27" s="11" t="s">
        <v>452</v>
      </c>
      <c r="F27" s="11" t="s">
        <v>165</v>
      </c>
      <c r="G27" s="11" t="s">
        <v>459</v>
      </c>
      <c r="H27" s="11" t="n">
        <v>9713294</v>
      </c>
      <c r="I27" s="11" t="n">
        <v>761204</v>
      </c>
      <c r="J27" s="11" t="n">
        <v>3262</v>
      </c>
      <c r="K27" s="11" t="s">
        <v>22</v>
      </c>
      <c r="L27" s="11" t="s">
        <v>282</v>
      </c>
      <c r="M27" s="24" t="n">
        <v>45720</v>
      </c>
      <c r="N27" s="25" t="n">
        <f aca="false">INT((M27-D27)/365.25)</f>
        <v>19</v>
      </c>
      <c r="O27" s="12" t="s">
        <v>30</v>
      </c>
      <c r="P27" s="12" t="s">
        <v>22</v>
      </c>
    </row>
    <row r="28" customFormat="false" ht="15" hidden="true" customHeight="false" outlineLevel="0" collapsed="false">
      <c r="A28" s="23" t="n">
        <v>24</v>
      </c>
      <c r="B28" s="11" t="n">
        <v>866624</v>
      </c>
      <c r="C28" s="34" t="s">
        <v>460</v>
      </c>
      <c r="D28" s="12" t="n">
        <v>37970</v>
      </c>
      <c r="E28" s="11" t="s">
        <v>452</v>
      </c>
      <c r="F28" s="11" t="s">
        <v>165</v>
      </c>
      <c r="G28" s="11" t="s">
        <v>461</v>
      </c>
      <c r="H28" s="11" t="n">
        <v>9313344</v>
      </c>
      <c r="I28" s="11" t="n">
        <v>256277</v>
      </c>
      <c r="J28" s="11" t="n">
        <v>2229</v>
      </c>
      <c r="K28" s="11" t="s">
        <v>22</v>
      </c>
      <c r="L28" s="11" t="s">
        <v>282</v>
      </c>
      <c r="M28" s="24" t="n">
        <v>45720</v>
      </c>
      <c r="N28" s="25" t="n">
        <f aca="false">INT((M28-D28)/365.25)</f>
        <v>21</v>
      </c>
      <c r="O28" s="12" t="s">
        <v>30</v>
      </c>
      <c r="P28" s="12" t="s">
        <v>22</v>
      </c>
    </row>
    <row r="29" customFormat="false" ht="15" hidden="true" customHeight="false" outlineLevel="0" collapsed="false">
      <c r="A29" s="23" t="n">
        <v>25</v>
      </c>
      <c r="B29" s="11" t="n">
        <v>866614</v>
      </c>
      <c r="C29" s="34" t="s">
        <v>462</v>
      </c>
      <c r="D29" s="12" t="n">
        <v>34957</v>
      </c>
      <c r="E29" s="11" t="s">
        <v>452</v>
      </c>
      <c r="F29" s="11" t="s">
        <v>165</v>
      </c>
      <c r="G29" s="11" t="s">
        <v>463</v>
      </c>
      <c r="H29" s="11" t="n">
        <v>7839837</v>
      </c>
      <c r="I29" s="11" t="n">
        <v>5690103</v>
      </c>
      <c r="J29" s="11" t="n">
        <v>40</v>
      </c>
      <c r="K29" s="11" t="s">
        <v>22</v>
      </c>
      <c r="L29" s="11" t="s">
        <v>282</v>
      </c>
      <c r="M29" s="24" t="n">
        <v>45720</v>
      </c>
      <c r="N29" s="25" t="n">
        <f aca="false">INT((M29-D29)/365.25)</f>
        <v>29</v>
      </c>
      <c r="O29" s="12" t="s">
        <v>464</v>
      </c>
      <c r="P29" s="12" t="s">
        <v>22</v>
      </c>
    </row>
    <row r="30" customFormat="false" ht="15" hidden="true" customHeight="false" outlineLevel="0" collapsed="false">
      <c r="A30" s="23" t="n">
        <v>14</v>
      </c>
      <c r="B30" s="11" t="n">
        <v>866619</v>
      </c>
      <c r="C30" s="34" t="s">
        <v>465</v>
      </c>
      <c r="D30" s="12" t="n">
        <v>35940</v>
      </c>
      <c r="E30" s="11" t="s">
        <v>452</v>
      </c>
      <c r="F30" s="11" t="s">
        <v>165</v>
      </c>
      <c r="G30" s="11" t="s">
        <v>466</v>
      </c>
      <c r="H30" s="11" t="n">
        <v>8002650</v>
      </c>
      <c r="I30" s="11" t="n">
        <v>7094602</v>
      </c>
      <c r="J30" s="11" t="n">
        <v>9288</v>
      </c>
      <c r="K30" s="11" t="s">
        <v>30</v>
      </c>
      <c r="L30" s="11" t="s">
        <v>282</v>
      </c>
      <c r="M30" s="24" t="n">
        <v>45720</v>
      </c>
      <c r="N30" s="25" t="n">
        <f aca="false">INT((M30-D30)/365.25)</f>
        <v>26</v>
      </c>
      <c r="O30" s="12" t="s">
        <v>30</v>
      </c>
      <c r="P30" s="12" t="s">
        <v>22</v>
      </c>
    </row>
    <row r="31" customFormat="false" ht="15" hidden="false" customHeight="false" outlineLevel="0" collapsed="false">
      <c r="A31" s="23" t="n">
        <v>15</v>
      </c>
      <c r="B31" s="11" t="n">
        <v>866921</v>
      </c>
      <c r="C31" s="11" t="s">
        <v>521</v>
      </c>
      <c r="D31" s="12" t="n">
        <v>25884</v>
      </c>
      <c r="E31" s="11" t="s">
        <v>452</v>
      </c>
      <c r="F31" s="11" t="s">
        <v>165</v>
      </c>
      <c r="G31" s="11" t="s">
        <v>522</v>
      </c>
      <c r="H31" s="11" t="n">
        <v>1987871</v>
      </c>
      <c r="I31" s="11" t="n">
        <v>29458</v>
      </c>
      <c r="J31" s="11" t="n">
        <v>23</v>
      </c>
      <c r="K31" s="11" t="s">
        <v>30</v>
      </c>
      <c r="L31" s="11" t="s">
        <v>282</v>
      </c>
      <c r="M31" s="24" t="n">
        <v>45720</v>
      </c>
      <c r="N31" s="25" t="n">
        <f aca="false">INT((M31-D31)/365.25)</f>
        <v>54</v>
      </c>
      <c r="O31" s="12" t="s">
        <v>30</v>
      </c>
      <c r="P31" s="12" t="s">
        <v>22</v>
      </c>
    </row>
    <row r="32" customFormat="false" ht="15" hidden="true" customHeight="false" outlineLevel="0" collapsed="false">
      <c r="A32" s="23" t="n">
        <v>28</v>
      </c>
      <c r="B32" s="11" t="n">
        <v>866933</v>
      </c>
      <c r="C32" s="34" t="s">
        <v>467</v>
      </c>
      <c r="D32" s="12" t="n">
        <v>36577</v>
      </c>
      <c r="E32" s="11" t="s">
        <v>452</v>
      </c>
      <c r="F32" s="11" t="s">
        <v>165</v>
      </c>
      <c r="G32" s="11" t="s">
        <v>468</v>
      </c>
      <c r="H32" s="11" t="n">
        <v>8269206</v>
      </c>
      <c r="I32" s="11" t="n">
        <v>491605</v>
      </c>
      <c r="J32" s="11" t="n">
        <v>6256</v>
      </c>
      <c r="K32" s="11" t="s">
        <v>22</v>
      </c>
      <c r="L32" s="11" t="s">
        <v>282</v>
      </c>
      <c r="M32" s="24" t="n">
        <v>45720</v>
      </c>
      <c r="N32" s="25" t="n">
        <f aca="false">INT((M32-D32)/365.25)</f>
        <v>25</v>
      </c>
      <c r="O32" s="12" t="s">
        <v>30</v>
      </c>
      <c r="P32" s="12" t="s">
        <v>22</v>
      </c>
    </row>
    <row r="33" customFormat="false" ht="15" hidden="true" customHeight="false" outlineLevel="0" collapsed="false">
      <c r="A33" s="23" t="n">
        <v>16</v>
      </c>
      <c r="B33" s="11" t="n">
        <v>846919</v>
      </c>
      <c r="C33" s="34" t="s">
        <v>469</v>
      </c>
      <c r="D33" s="12" t="n">
        <v>36498</v>
      </c>
      <c r="E33" s="11" t="s">
        <v>452</v>
      </c>
      <c r="F33" s="11" t="s">
        <v>165</v>
      </c>
      <c r="G33" s="11" t="s">
        <v>470</v>
      </c>
      <c r="H33" s="11" t="n">
        <v>7537199</v>
      </c>
      <c r="I33" s="11" t="n">
        <v>626300</v>
      </c>
      <c r="J33" s="11" t="n">
        <v>9241</v>
      </c>
      <c r="K33" s="11" t="s">
        <v>30</v>
      </c>
      <c r="L33" s="11" t="s">
        <v>282</v>
      </c>
      <c r="M33" s="24" t="n">
        <v>45720</v>
      </c>
      <c r="N33" s="25" t="n">
        <f aca="false">INT((M33-D33)/365.25)</f>
        <v>25</v>
      </c>
      <c r="O33" s="12" t="s">
        <v>30</v>
      </c>
      <c r="P33" s="12" t="s">
        <v>22</v>
      </c>
    </row>
    <row r="34" customFormat="false" ht="15" hidden="true" customHeight="false" outlineLevel="0" collapsed="false">
      <c r="A34" s="23" t="n">
        <v>30</v>
      </c>
      <c r="B34" s="11" t="n">
        <v>866932</v>
      </c>
      <c r="C34" s="34" t="s">
        <v>471</v>
      </c>
      <c r="D34" s="12" t="n">
        <v>36897</v>
      </c>
      <c r="E34" s="11" t="s">
        <v>452</v>
      </c>
      <c r="F34" s="11" t="s">
        <v>165</v>
      </c>
      <c r="G34" s="11" t="s">
        <v>472</v>
      </c>
      <c r="H34" s="11" t="n">
        <v>8369033</v>
      </c>
      <c r="I34" s="11" t="n">
        <v>7041916</v>
      </c>
      <c r="J34" s="11" t="n">
        <v>8206</v>
      </c>
      <c r="K34" s="11" t="s">
        <v>22</v>
      </c>
      <c r="L34" s="11" t="s">
        <v>282</v>
      </c>
      <c r="M34" s="24" t="n">
        <v>45720</v>
      </c>
      <c r="N34" s="25" t="n">
        <f aca="false">INT((M34-D34)/365.25)</f>
        <v>24</v>
      </c>
      <c r="O34" s="12" t="s">
        <v>30</v>
      </c>
      <c r="P34" s="12" t="s">
        <v>22</v>
      </c>
    </row>
    <row r="35" customFormat="false" ht="15" hidden="true" customHeight="false" outlineLevel="0" collapsed="false">
      <c r="A35" s="23" t="n">
        <v>17</v>
      </c>
      <c r="B35" s="11" t="n">
        <v>866631</v>
      </c>
      <c r="C35" s="34" t="s">
        <v>473</v>
      </c>
      <c r="D35" s="12" t="n">
        <v>35765</v>
      </c>
      <c r="E35" s="11" t="s">
        <v>452</v>
      </c>
      <c r="F35" s="11" t="s">
        <v>165</v>
      </c>
      <c r="G35" s="11" t="s">
        <v>474</v>
      </c>
      <c r="H35" s="11" t="n">
        <v>8219604</v>
      </c>
      <c r="I35" s="11" t="n">
        <v>474267</v>
      </c>
      <c r="J35" s="11" t="n">
        <v>9202</v>
      </c>
      <c r="K35" s="11" t="s">
        <v>30</v>
      </c>
      <c r="L35" s="11" t="s">
        <v>282</v>
      </c>
      <c r="M35" s="24" t="n">
        <v>45720</v>
      </c>
      <c r="N35" s="25" t="n">
        <f aca="false">INT((M35-D35)/365.25)</f>
        <v>27</v>
      </c>
      <c r="O35" s="12" t="s">
        <v>30</v>
      </c>
      <c r="P35" s="12" t="s">
        <v>22</v>
      </c>
    </row>
    <row r="36" customFormat="false" ht="15" hidden="true" customHeight="false" outlineLevel="0" collapsed="false">
      <c r="A36" s="23" t="n">
        <v>32</v>
      </c>
      <c r="B36" s="11" t="n">
        <v>855426</v>
      </c>
      <c r="C36" s="34" t="s">
        <v>475</v>
      </c>
      <c r="D36" s="12" t="n">
        <v>38636</v>
      </c>
      <c r="E36" s="11" t="s">
        <v>452</v>
      </c>
      <c r="F36" s="11" t="s">
        <v>165</v>
      </c>
      <c r="G36" s="11" t="s">
        <v>476</v>
      </c>
      <c r="H36" s="11" t="n">
        <v>9919995</v>
      </c>
      <c r="I36" s="11" t="n">
        <v>697716</v>
      </c>
      <c r="J36" s="11" t="n">
        <v>7246</v>
      </c>
      <c r="K36" s="11" t="s">
        <v>22</v>
      </c>
      <c r="L36" s="11" t="s">
        <v>282</v>
      </c>
      <c r="M36" s="24" t="n">
        <v>45720</v>
      </c>
      <c r="N36" s="25" t="n">
        <f aca="false">INT((M36-D36)/365.25)</f>
        <v>19</v>
      </c>
      <c r="O36" s="12" t="s">
        <v>30</v>
      </c>
      <c r="P36" s="12" t="s">
        <v>22</v>
      </c>
    </row>
    <row r="37" customFormat="false" ht="15" hidden="true" customHeight="false" outlineLevel="0" collapsed="false">
      <c r="A37" s="23" t="n">
        <v>18</v>
      </c>
      <c r="B37" s="11" t="n">
        <v>866941</v>
      </c>
      <c r="C37" s="34" t="s">
        <v>523</v>
      </c>
      <c r="D37" s="12" t="n">
        <v>33333</v>
      </c>
      <c r="E37" s="11" t="s">
        <v>452</v>
      </c>
      <c r="F37" s="11" t="s">
        <v>165</v>
      </c>
      <c r="G37" s="11" t="s">
        <v>524</v>
      </c>
      <c r="H37" s="11" t="s">
        <v>525</v>
      </c>
      <c r="I37" s="11" t="n">
        <v>55228</v>
      </c>
      <c r="J37" s="11" t="n">
        <v>41</v>
      </c>
      <c r="K37" s="11" t="s">
        <v>30</v>
      </c>
      <c r="L37" s="11" t="s">
        <v>282</v>
      </c>
      <c r="M37" s="24" t="n">
        <v>45720</v>
      </c>
      <c r="N37" s="25" t="n">
        <f aca="false">INT((M37-D37)/365.25)</f>
        <v>33</v>
      </c>
      <c r="O37" s="12" t="s">
        <v>30</v>
      </c>
      <c r="P37" s="12" t="s">
        <v>22</v>
      </c>
    </row>
    <row r="38" customFormat="false" ht="15" hidden="true" customHeight="false" outlineLevel="0" collapsed="false">
      <c r="A38" s="23" t="n">
        <v>34</v>
      </c>
      <c r="B38" s="11" t="n">
        <v>866617</v>
      </c>
      <c r="C38" s="34" t="s">
        <v>477</v>
      </c>
      <c r="D38" s="12" t="n">
        <v>39076</v>
      </c>
      <c r="E38" s="11" t="s">
        <v>478</v>
      </c>
      <c r="F38" s="11" t="s">
        <v>165</v>
      </c>
      <c r="G38" s="11" t="s">
        <v>479</v>
      </c>
      <c r="H38" s="11" t="n">
        <v>10698315</v>
      </c>
      <c r="I38" s="11" t="n">
        <v>967465</v>
      </c>
      <c r="J38" s="11" t="n">
        <v>7290</v>
      </c>
      <c r="K38" s="11" t="s">
        <v>22</v>
      </c>
      <c r="L38" s="11" t="s">
        <v>282</v>
      </c>
      <c r="M38" s="24" t="n">
        <v>45720</v>
      </c>
      <c r="N38" s="25" t="n">
        <f aca="false">INT((M38-D38)/365.25)</f>
        <v>18</v>
      </c>
      <c r="O38" s="12" t="s">
        <v>30</v>
      </c>
      <c r="P38" s="12" t="s">
        <v>22</v>
      </c>
    </row>
    <row r="39" customFormat="false" ht="15" hidden="false" customHeight="false" outlineLevel="0" collapsed="false">
      <c r="A39" s="23" t="n">
        <v>19</v>
      </c>
      <c r="B39" s="11" t="n">
        <v>866611</v>
      </c>
      <c r="C39" s="11" t="s">
        <v>526</v>
      </c>
      <c r="D39" s="12" t="n">
        <v>38754</v>
      </c>
      <c r="E39" s="11" t="s">
        <v>478</v>
      </c>
      <c r="F39" s="11" t="s">
        <v>165</v>
      </c>
      <c r="G39" s="11" t="s">
        <v>527</v>
      </c>
      <c r="H39" s="11" t="n">
        <v>8834490</v>
      </c>
      <c r="I39" s="11" t="n">
        <v>899085</v>
      </c>
      <c r="J39" s="11" t="n">
        <v>240</v>
      </c>
      <c r="K39" s="11" t="s">
        <v>30</v>
      </c>
      <c r="L39" s="11" t="s">
        <v>282</v>
      </c>
      <c r="M39" s="24" t="n">
        <v>45720</v>
      </c>
      <c r="N39" s="25" t="n">
        <f aca="false">INT((M39-D39)/365.25)</f>
        <v>19</v>
      </c>
      <c r="O39" s="12" t="s">
        <v>30</v>
      </c>
      <c r="P39" s="12" t="s">
        <v>22</v>
      </c>
    </row>
    <row r="40" customFormat="false" ht="15" hidden="true" customHeight="false" outlineLevel="0" collapsed="false">
      <c r="A40" s="23" t="n">
        <v>36</v>
      </c>
      <c r="B40" s="11" t="n">
        <v>852480</v>
      </c>
      <c r="C40" s="34" t="s">
        <v>480</v>
      </c>
      <c r="D40" s="12" t="n">
        <v>31308</v>
      </c>
      <c r="E40" s="11" t="s">
        <v>478</v>
      </c>
      <c r="F40" s="11" t="s">
        <v>165</v>
      </c>
      <c r="G40" s="11" t="s">
        <v>481</v>
      </c>
      <c r="H40" s="11" t="n">
        <v>4901861</v>
      </c>
      <c r="I40" s="11" t="n">
        <v>8913826</v>
      </c>
      <c r="J40" s="11" t="n">
        <v>204</v>
      </c>
      <c r="K40" s="11" t="s">
        <v>22</v>
      </c>
      <c r="L40" s="11" t="s">
        <v>282</v>
      </c>
      <c r="M40" s="24" t="n">
        <v>45720</v>
      </c>
      <c r="N40" s="25" t="n">
        <f aca="false">INT((M40-D40)/365.25)</f>
        <v>39</v>
      </c>
      <c r="O40" s="12" t="s">
        <v>30</v>
      </c>
      <c r="P40" s="12" t="s">
        <v>22</v>
      </c>
    </row>
    <row r="41" customFormat="false" ht="15" hidden="true" customHeight="false" outlineLevel="0" collapsed="false">
      <c r="A41" s="23" t="n">
        <v>37</v>
      </c>
      <c r="B41" s="11" t="n">
        <v>843640</v>
      </c>
      <c r="C41" s="34" t="s">
        <v>482</v>
      </c>
      <c r="D41" s="12" t="n">
        <v>28277</v>
      </c>
      <c r="E41" s="11" t="s">
        <v>478</v>
      </c>
      <c r="F41" s="11" t="s">
        <v>165</v>
      </c>
      <c r="G41" s="11" t="s">
        <v>483</v>
      </c>
      <c r="H41" s="11" t="n">
        <v>3267677</v>
      </c>
      <c r="I41" s="11" t="n">
        <v>6044613</v>
      </c>
      <c r="J41" s="11" t="n">
        <v>7200</v>
      </c>
      <c r="K41" s="11" t="s">
        <v>22</v>
      </c>
      <c r="L41" s="11" t="s">
        <v>282</v>
      </c>
      <c r="M41" s="24" t="n">
        <v>45720</v>
      </c>
      <c r="N41" s="25" t="n">
        <f aca="false">INT((M41-D41)/365.25)</f>
        <v>47</v>
      </c>
      <c r="O41" s="12" t="s">
        <v>30</v>
      </c>
      <c r="P41" s="12" t="s">
        <v>22</v>
      </c>
    </row>
    <row r="42" customFormat="false" ht="15" hidden="true" customHeight="false" outlineLevel="0" collapsed="false">
      <c r="A42" s="23" t="n">
        <v>38</v>
      </c>
      <c r="B42" s="11" t="n">
        <v>860863</v>
      </c>
      <c r="C42" s="34" t="s">
        <v>484</v>
      </c>
      <c r="D42" s="12" t="n">
        <v>37599</v>
      </c>
      <c r="E42" s="11" t="s">
        <v>478</v>
      </c>
      <c r="F42" s="11" t="s">
        <v>165</v>
      </c>
      <c r="G42" s="11" t="s">
        <v>485</v>
      </c>
      <c r="H42" s="11" t="n">
        <v>1662104</v>
      </c>
      <c r="I42" s="11" t="n">
        <v>1026473</v>
      </c>
      <c r="J42" s="11" t="n">
        <v>9183</v>
      </c>
      <c r="K42" s="11" t="s">
        <v>22</v>
      </c>
      <c r="L42" s="11" t="s">
        <v>282</v>
      </c>
      <c r="M42" s="24" t="n">
        <v>45720</v>
      </c>
      <c r="N42" s="25" t="n">
        <f aca="false">INT((M42-D42)/365.25)</f>
        <v>22</v>
      </c>
      <c r="O42" s="12" t="s">
        <v>30</v>
      </c>
      <c r="P42" s="12" t="s">
        <v>22</v>
      </c>
    </row>
    <row r="43" customFormat="false" ht="15" hidden="true" customHeight="false" outlineLevel="0" collapsed="false">
      <c r="A43" s="23" t="n">
        <v>20</v>
      </c>
      <c r="B43" s="11" t="n">
        <v>809695</v>
      </c>
      <c r="C43" s="34" t="s">
        <v>486</v>
      </c>
      <c r="D43" s="12" t="n">
        <v>35207</v>
      </c>
      <c r="E43" s="11" t="s">
        <v>478</v>
      </c>
      <c r="F43" s="11" t="s">
        <v>165</v>
      </c>
      <c r="G43" s="11" t="s">
        <v>487</v>
      </c>
      <c r="H43" s="11" t="n">
        <v>7903741</v>
      </c>
      <c r="I43" s="11" t="n">
        <v>34</v>
      </c>
      <c r="J43" s="11" t="n">
        <v>75</v>
      </c>
      <c r="K43" s="11" t="s">
        <v>30</v>
      </c>
      <c r="L43" s="11" t="s">
        <v>282</v>
      </c>
      <c r="M43" s="24" t="n">
        <v>45720</v>
      </c>
      <c r="N43" s="25" t="n">
        <f aca="false">INT((M43-D43)/365.25)</f>
        <v>28</v>
      </c>
      <c r="O43" s="12" t="s">
        <v>30</v>
      </c>
      <c r="P43" s="12" t="s">
        <v>22</v>
      </c>
    </row>
    <row r="44" customFormat="false" ht="15" hidden="true" customHeight="false" outlineLevel="0" collapsed="false">
      <c r="A44" s="23" t="n">
        <v>21</v>
      </c>
      <c r="B44" s="11" t="n">
        <v>866626</v>
      </c>
      <c r="C44" s="34" t="s">
        <v>488</v>
      </c>
      <c r="D44" s="12" t="n">
        <v>37385</v>
      </c>
      <c r="E44" s="11" t="s">
        <v>478</v>
      </c>
      <c r="F44" s="11" t="s">
        <v>165</v>
      </c>
      <c r="G44" s="11" t="s">
        <v>489</v>
      </c>
      <c r="H44" s="11" t="n">
        <v>9707809</v>
      </c>
      <c r="I44" s="11" t="n">
        <v>72279</v>
      </c>
      <c r="J44" s="11" t="n">
        <v>287</v>
      </c>
      <c r="K44" s="11" t="s">
        <v>30</v>
      </c>
      <c r="L44" s="11" t="s">
        <v>282</v>
      </c>
      <c r="M44" s="24" t="n">
        <v>45720</v>
      </c>
      <c r="N44" s="25" t="n">
        <f aca="false">INT((M44-D44)/365.25)</f>
        <v>22</v>
      </c>
      <c r="O44" s="12" t="s">
        <v>30</v>
      </c>
      <c r="P44" s="12" t="s">
        <v>22</v>
      </c>
    </row>
    <row r="45" customFormat="false" ht="15" hidden="false" customHeight="false" outlineLevel="0" collapsed="false">
      <c r="A45" s="23" t="n">
        <v>22</v>
      </c>
      <c r="B45" s="11" t="n">
        <v>843779</v>
      </c>
      <c r="C45" s="11" t="s">
        <v>528</v>
      </c>
      <c r="D45" s="12" t="n">
        <v>35776</v>
      </c>
      <c r="E45" s="11" t="s">
        <v>478</v>
      </c>
      <c r="F45" s="11" t="s">
        <v>165</v>
      </c>
      <c r="G45" s="11" t="s">
        <v>529</v>
      </c>
      <c r="H45" s="11" t="n">
        <v>7966231</v>
      </c>
      <c r="I45" s="11" t="n">
        <v>518988</v>
      </c>
      <c r="J45" s="11" t="n">
        <v>5208</v>
      </c>
      <c r="K45" s="11" t="s">
        <v>30</v>
      </c>
      <c r="L45" s="11" t="s">
        <v>282</v>
      </c>
      <c r="M45" s="24" t="n">
        <v>45720</v>
      </c>
      <c r="N45" s="25" t="n">
        <f aca="false">INT((M45-D45)/365.25)</f>
        <v>27</v>
      </c>
      <c r="O45" s="12" t="s">
        <v>30</v>
      </c>
      <c r="P45" s="12" t="s">
        <v>22</v>
      </c>
    </row>
    <row r="46" customFormat="false" ht="15" hidden="true" customHeight="false" outlineLevel="0" collapsed="false">
      <c r="A46" s="23" t="n">
        <v>42</v>
      </c>
      <c r="B46" s="11" t="n">
        <v>838676</v>
      </c>
      <c r="C46" s="34" t="s">
        <v>493</v>
      </c>
      <c r="D46" s="12" t="n">
        <v>36608</v>
      </c>
      <c r="E46" s="11" t="s">
        <v>491</v>
      </c>
      <c r="F46" s="11" t="s">
        <v>165</v>
      </c>
      <c r="G46" s="11" t="s">
        <v>494</v>
      </c>
      <c r="H46" s="11" t="n">
        <v>8644694</v>
      </c>
      <c r="I46" s="11" t="n">
        <v>524102</v>
      </c>
      <c r="J46" s="11" t="n">
        <v>3259</v>
      </c>
      <c r="K46" s="11" t="s">
        <v>22</v>
      </c>
      <c r="L46" s="11" t="s">
        <v>282</v>
      </c>
      <c r="M46" s="24" t="n">
        <v>45720</v>
      </c>
      <c r="N46" s="25" t="n">
        <f aca="false">INT((M46-D46)/365.25)</f>
        <v>24</v>
      </c>
      <c r="O46" s="12" t="s">
        <v>30</v>
      </c>
      <c r="P46" s="12" t="s">
        <v>22</v>
      </c>
    </row>
    <row r="47" customFormat="false" ht="15" hidden="true" customHeight="false" outlineLevel="0" collapsed="false">
      <c r="A47" s="23" t="n">
        <v>43</v>
      </c>
      <c r="B47" s="11" t="n">
        <v>866618</v>
      </c>
      <c r="C47" s="34" t="s">
        <v>530</v>
      </c>
      <c r="D47" s="12" t="n">
        <v>37017</v>
      </c>
      <c r="E47" s="11" t="s">
        <v>491</v>
      </c>
      <c r="F47" s="11" t="s">
        <v>165</v>
      </c>
      <c r="G47" s="11" t="s">
        <v>496</v>
      </c>
      <c r="H47" s="11" t="n">
        <v>8619168</v>
      </c>
      <c r="I47" s="11" t="n">
        <v>597241</v>
      </c>
      <c r="J47" s="11" t="n">
        <v>230</v>
      </c>
      <c r="K47" s="11" t="s">
        <v>22</v>
      </c>
      <c r="L47" s="11" t="s">
        <v>282</v>
      </c>
      <c r="M47" s="24" t="n">
        <v>45720</v>
      </c>
      <c r="N47" s="25" t="n">
        <f aca="false">INT((M47-D47)/365.25)</f>
        <v>23</v>
      </c>
      <c r="O47" s="12" t="s">
        <v>30</v>
      </c>
      <c r="P47" s="12" t="s">
        <v>22</v>
      </c>
    </row>
    <row r="48" customFormat="false" ht="15" hidden="false" customHeight="false" outlineLevel="0" collapsed="false">
      <c r="A48" s="23" t="n">
        <v>23</v>
      </c>
      <c r="B48" s="11" t="n">
        <v>866610</v>
      </c>
      <c r="C48" s="11" t="s">
        <v>531</v>
      </c>
      <c r="D48" s="12" t="n">
        <v>38789</v>
      </c>
      <c r="E48" s="11" t="s">
        <v>491</v>
      </c>
      <c r="F48" s="11" t="s">
        <v>165</v>
      </c>
      <c r="G48" s="11" t="s">
        <v>532</v>
      </c>
      <c r="H48" s="11" t="n">
        <v>10630269</v>
      </c>
      <c r="I48" s="11" t="n">
        <v>6128704</v>
      </c>
      <c r="J48" s="11" t="n">
        <v>5308</v>
      </c>
      <c r="K48" s="11" t="s">
        <v>30</v>
      </c>
      <c r="L48" s="11" t="s">
        <v>282</v>
      </c>
      <c r="M48" s="24" t="n">
        <v>45720</v>
      </c>
      <c r="N48" s="25" t="n">
        <f aca="false">INT((M48-D48)/365.25)</f>
        <v>18</v>
      </c>
      <c r="O48" s="12" t="s">
        <v>30</v>
      </c>
      <c r="P48" s="12" t="s">
        <v>22</v>
      </c>
    </row>
    <row r="49" customFormat="false" ht="15" hidden="true" customHeight="false" outlineLevel="0" collapsed="false">
      <c r="A49" s="23" t="n">
        <v>24</v>
      </c>
      <c r="B49" s="11" t="n">
        <v>846976</v>
      </c>
      <c r="C49" s="34" t="s">
        <v>497</v>
      </c>
      <c r="D49" s="12" t="n">
        <v>35632</v>
      </c>
      <c r="E49" s="11" t="s">
        <v>491</v>
      </c>
      <c r="F49" s="11" t="s">
        <v>165</v>
      </c>
      <c r="G49" s="11" t="s">
        <v>498</v>
      </c>
      <c r="H49" s="11" t="n">
        <v>8107481</v>
      </c>
      <c r="I49" s="11" t="n">
        <v>555010</v>
      </c>
      <c r="J49" s="11" t="n">
        <v>5209</v>
      </c>
      <c r="K49" s="11" t="s">
        <v>30</v>
      </c>
      <c r="L49" s="11" t="s">
        <v>282</v>
      </c>
      <c r="M49" s="24" t="n">
        <v>45720</v>
      </c>
      <c r="N49" s="25" t="n">
        <f aca="false">INT((M49-D49)/365.25)</f>
        <v>27</v>
      </c>
      <c r="O49" s="12" t="s">
        <v>30</v>
      </c>
      <c r="P49" s="12" t="s">
        <v>22</v>
      </c>
    </row>
    <row r="50" customFormat="false" ht="15" hidden="true" customHeight="false" outlineLevel="0" collapsed="false">
      <c r="A50" s="23" t="n">
        <v>46</v>
      </c>
      <c r="B50" s="11" t="n">
        <v>866863</v>
      </c>
      <c r="C50" s="34" t="s">
        <v>499</v>
      </c>
      <c r="D50" s="12" t="n">
        <v>36690</v>
      </c>
      <c r="E50" s="11" t="s">
        <v>491</v>
      </c>
      <c r="F50" s="11" t="s">
        <v>165</v>
      </c>
      <c r="G50" s="11" t="s">
        <v>500</v>
      </c>
      <c r="H50" s="11" t="n">
        <v>8961436</v>
      </c>
      <c r="I50" s="11" t="n">
        <v>7095378</v>
      </c>
      <c r="J50" s="11" t="n">
        <v>1267</v>
      </c>
      <c r="K50" s="11" t="s">
        <v>22</v>
      </c>
      <c r="L50" s="11" t="s">
        <v>282</v>
      </c>
      <c r="M50" s="24" t="n">
        <v>45720</v>
      </c>
      <c r="N50" s="25" t="n">
        <f aca="false">INT((M50-D50)/365.25)</f>
        <v>24</v>
      </c>
      <c r="O50" s="12"/>
      <c r="P50" s="12" t="s">
        <v>22</v>
      </c>
    </row>
    <row r="51" customFormat="false" ht="15" hidden="true" customHeight="false" outlineLevel="0" collapsed="false">
      <c r="A51" s="23" t="n">
        <v>47</v>
      </c>
      <c r="B51" s="11" t="n">
        <v>866621</v>
      </c>
      <c r="C51" s="34" t="s">
        <v>501</v>
      </c>
      <c r="D51" s="12" t="n">
        <v>37576</v>
      </c>
      <c r="E51" s="11" t="s">
        <v>491</v>
      </c>
      <c r="F51" s="11" t="s">
        <v>165</v>
      </c>
      <c r="G51" s="11" t="s">
        <v>502</v>
      </c>
      <c r="H51" s="11" t="n">
        <v>8751806</v>
      </c>
      <c r="I51" s="11" t="n">
        <v>634885</v>
      </c>
      <c r="J51" s="11" t="n">
        <v>6267</v>
      </c>
      <c r="K51" s="11" t="s">
        <v>22</v>
      </c>
      <c r="L51" s="11" t="s">
        <v>282</v>
      </c>
      <c r="M51" s="24" t="n">
        <v>45720</v>
      </c>
      <c r="N51" s="25" t="n">
        <f aca="false">INT((M51-D51)/365.25)</f>
        <v>22</v>
      </c>
      <c r="O51" s="12" t="s">
        <v>30</v>
      </c>
      <c r="P51" s="12" t="s">
        <v>22</v>
      </c>
    </row>
    <row r="52" customFormat="false" ht="15" hidden="false" customHeight="false" outlineLevel="0" collapsed="false">
      <c r="A52" s="23" t="n">
        <v>48</v>
      </c>
      <c r="B52" s="11" t="n">
        <v>866965</v>
      </c>
      <c r="C52" s="11" t="s">
        <v>533</v>
      </c>
      <c r="D52" s="12" t="n">
        <v>33344</v>
      </c>
      <c r="E52" s="11" t="s">
        <v>491</v>
      </c>
      <c r="F52" s="11" t="s">
        <v>165</v>
      </c>
      <c r="G52" s="11" t="s">
        <v>534</v>
      </c>
      <c r="H52" s="11" t="n">
        <v>6578159</v>
      </c>
      <c r="I52" s="11" t="n">
        <v>3536473</v>
      </c>
      <c r="J52" s="11" t="n">
        <v>60</v>
      </c>
      <c r="K52" s="11" t="s">
        <v>22</v>
      </c>
      <c r="L52" s="11" t="s">
        <v>282</v>
      </c>
      <c r="M52" s="24" t="n">
        <v>45720</v>
      </c>
      <c r="N52" s="25" t="n">
        <f aca="false">INT((M52-D52)/365.25)</f>
        <v>33</v>
      </c>
      <c r="O52" s="12"/>
      <c r="P52" s="12" t="s">
        <v>22</v>
      </c>
    </row>
    <row r="53" customFormat="false" ht="15" hidden="true" customHeight="false" outlineLevel="0" collapsed="false">
      <c r="A53" s="23" t="n">
        <v>49</v>
      </c>
      <c r="B53" s="11" t="n">
        <v>867002</v>
      </c>
      <c r="C53" s="34" t="s">
        <v>490</v>
      </c>
      <c r="D53" s="12" t="n">
        <v>33345</v>
      </c>
      <c r="E53" s="11" t="s">
        <v>491</v>
      </c>
      <c r="F53" s="11" t="s">
        <v>165</v>
      </c>
      <c r="G53" s="11" t="s">
        <v>492</v>
      </c>
      <c r="H53" s="11" t="n">
        <v>6826315</v>
      </c>
      <c r="I53" s="11" t="n">
        <v>76905</v>
      </c>
      <c r="J53" s="11" t="n">
        <v>67</v>
      </c>
      <c r="K53" s="11" t="s">
        <v>30</v>
      </c>
      <c r="L53" s="11" t="s">
        <v>282</v>
      </c>
      <c r="M53" s="24" t="n">
        <v>45720</v>
      </c>
      <c r="N53" s="25" t="n">
        <f aca="false">INT((M53-D53)/365.25)</f>
        <v>33</v>
      </c>
      <c r="O53" s="12"/>
      <c r="P53" s="12" t="s">
        <v>22</v>
      </c>
    </row>
    <row r="54" customFormat="false" ht="15" hidden="true" customHeight="false" outlineLevel="0" collapsed="false"/>
    <row r="55" customFormat="false" ht="15" hidden="true" customHeight="false" outlineLevel="0" collapsed="false"/>
    <row r="56" customFormat="false" ht="15" hidden="true" customHeight="false" outlineLevel="0" collapsed="false">
      <c r="F56" s="35" t="s">
        <v>535</v>
      </c>
    </row>
  </sheetData>
  <autoFilter ref="C1:C56">
    <filterColumn colId="0">
      <colorFilter cellColor="1" dxfId="2"/>
    </filterColumn>
  </autoFilter>
  <mergeCells count="1">
    <mergeCell ref="A1:P2"/>
  </mergeCells>
  <conditionalFormatting sqref="N5:N53">
    <cfRule type="colorScale" priority="2">
      <colorScale>
        <cfvo type="num" val="17"/>
        <cfvo type="num" val="18"/>
        <color rgb="FFFF0000"/>
        <color rgb="FF92D050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41" man="true" max="16383" min="0"/>
    <brk id="53" man="true" max="16383" min="0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true"/>
  </sheetPr>
  <dimension ref="A1:Q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1" activeCellId="0" sqref="I1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2.43"/>
    <col collapsed="false" customWidth="true" hidden="false" outlineLevel="0" max="2" min="2" style="0" width="6.43"/>
    <col collapsed="false" customWidth="true" hidden="false" outlineLevel="0" max="3" min="3" style="0" width="27.28"/>
    <col collapsed="false" customWidth="true" hidden="false" outlineLevel="0" max="4" min="4" style="0" width="9"/>
    <col collapsed="false" customWidth="true" hidden="false" outlineLevel="0" max="5" min="5" style="0" width="14.43"/>
    <col collapsed="false" customWidth="true" hidden="false" outlineLevel="0" max="6" min="6" style="0" width="6.29"/>
    <col collapsed="false" customWidth="true" hidden="false" outlineLevel="0" max="7" min="7" style="0" width="11.86"/>
    <col collapsed="false" customWidth="true" hidden="false" outlineLevel="0" max="8" min="8" style="0" width="10.57"/>
    <col collapsed="false" customWidth="true" hidden="false" outlineLevel="0" max="9" min="9" style="0" width="9.57"/>
    <col collapsed="false" customWidth="true" hidden="false" outlineLevel="0" max="10" min="10" style="0" width="5"/>
    <col collapsed="false" customWidth="true" hidden="false" outlineLevel="0" max="11" min="11" style="0" width="5.29"/>
    <col collapsed="false" customWidth="true" hidden="false" outlineLevel="0" max="12" min="12" style="0" width="17.57"/>
    <col collapsed="false" customWidth="true" hidden="false" outlineLevel="0" max="13" min="13" style="0" width="9.14"/>
    <col collapsed="false" customWidth="true" hidden="false" outlineLevel="0" max="14" min="14" style="0" width="5.29"/>
    <col collapsed="false" customWidth="true" hidden="true" outlineLevel="0" max="15" min="15" style="0" width="11.86"/>
    <col collapsed="false" customWidth="true" hidden="true" outlineLevel="0" max="16" min="16" style="0" width="7.57"/>
    <col collapsed="false" customWidth="true" hidden="false" outlineLevel="0" max="17" min="17" style="0" width="6.29"/>
  </cols>
  <sheetData>
    <row r="1" customFormat="false" ht="15" hidden="false" customHeight="false" outlineLevel="0" collapsed="false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customFormat="false" ht="15" hidden="false" customHeight="false" outlineLevel="0" collapsed="false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customFormat="false" ht="15" hidden="false" customHeight="false" outlineLevel="0" collapsed="false">
      <c r="A3" s="19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20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167</v>
      </c>
      <c r="P3" s="6" t="s">
        <v>14</v>
      </c>
      <c r="Q3" s="6" t="s">
        <v>16</v>
      </c>
    </row>
    <row r="4" customFormat="false" ht="15" hidden="false" customHeight="false" outlineLevel="0" collapsed="false">
      <c r="A4" s="21"/>
      <c r="B4" s="2"/>
      <c r="C4" s="6" t="s">
        <v>536</v>
      </c>
      <c r="D4" s="7"/>
      <c r="E4" s="2"/>
      <c r="F4" s="2"/>
      <c r="G4" s="2"/>
      <c r="H4" s="2"/>
      <c r="I4" s="2"/>
      <c r="J4" s="2"/>
      <c r="K4" s="2"/>
      <c r="L4" s="8"/>
      <c r="M4" s="22"/>
      <c r="N4" s="6"/>
      <c r="O4" s="6"/>
      <c r="P4" s="6"/>
      <c r="Q4" s="6"/>
    </row>
    <row r="5" customFormat="false" ht="15" hidden="false" customHeight="false" outlineLevel="0" collapsed="false">
      <c r="A5" s="23" t="n">
        <v>2</v>
      </c>
      <c r="B5" s="10" t="n">
        <v>823943</v>
      </c>
      <c r="C5" s="11" t="s">
        <v>537</v>
      </c>
      <c r="D5" s="12" t="n">
        <v>28531</v>
      </c>
      <c r="E5" s="11" t="s">
        <v>538</v>
      </c>
      <c r="F5" s="11" t="s">
        <v>19</v>
      </c>
      <c r="G5" s="11" t="s">
        <v>539</v>
      </c>
      <c r="H5" s="11" t="s">
        <v>540</v>
      </c>
      <c r="I5" s="11" t="n">
        <v>82546</v>
      </c>
      <c r="J5" s="11" t="n">
        <v>46</v>
      </c>
      <c r="K5" s="11" t="s">
        <v>22</v>
      </c>
      <c r="L5" s="11" t="s">
        <v>153</v>
      </c>
      <c r="M5" s="24" t="n">
        <v>45728</v>
      </c>
      <c r="N5" s="25" t="n">
        <f aca="false">INT((M5-D5)/365.25)</f>
        <v>47</v>
      </c>
      <c r="O5" s="12" t="s">
        <v>30</v>
      </c>
      <c r="P5" s="12" t="s">
        <v>30</v>
      </c>
      <c r="Q5" s="12" t="s">
        <v>22</v>
      </c>
    </row>
    <row r="6" customFormat="false" ht="15" hidden="false" customHeight="false" outlineLevel="0" collapsed="false">
      <c r="A6" s="23" t="n">
        <v>3</v>
      </c>
      <c r="B6" s="11" t="n">
        <v>851398</v>
      </c>
      <c r="C6" s="11" t="s">
        <v>541</v>
      </c>
      <c r="D6" s="12" t="n">
        <v>35196</v>
      </c>
      <c r="E6" s="11" t="s">
        <v>18</v>
      </c>
      <c r="F6" s="11" t="s">
        <v>19</v>
      </c>
      <c r="G6" s="11" t="s">
        <v>542</v>
      </c>
      <c r="H6" s="11" t="s">
        <v>543</v>
      </c>
      <c r="I6" s="11" t="n">
        <v>6049340</v>
      </c>
      <c r="J6" s="11" t="n">
        <v>4319</v>
      </c>
      <c r="K6" s="11" t="s">
        <v>22</v>
      </c>
      <c r="L6" s="11" t="s">
        <v>153</v>
      </c>
      <c r="M6" s="24" t="n">
        <v>45728</v>
      </c>
      <c r="N6" s="25" t="n">
        <f aca="false">INT((M6-D6)/365.25)</f>
        <v>28</v>
      </c>
      <c r="O6" s="12" t="s">
        <v>30</v>
      </c>
      <c r="P6" s="12" t="s">
        <v>30</v>
      </c>
      <c r="Q6" s="12" t="s">
        <v>22</v>
      </c>
    </row>
  </sheetData>
  <mergeCells count="1">
    <mergeCell ref="A1:Q2"/>
  </mergeCells>
  <conditionalFormatting sqref="N5:N6">
    <cfRule type="colorScale" priority="2">
      <colorScale>
        <cfvo type="num" val="17"/>
        <cfvo type="num" val="18"/>
        <color rgb="FFFF0000"/>
        <color rgb="FF92D050"/>
      </colorScale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true"/>
  </sheetPr>
  <dimension ref="A1:Q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9" activeCellId="0" sqref="K9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2.14"/>
    <col collapsed="false" customWidth="true" hidden="false" outlineLevel="0" max="2" min="2" style="0" width="6"/>
    <col collapsed="false" customWidth="true" hidden="false" outlineLevel="0" max="3" min="3" style="0" width="32.57"/>
    <col collapsed="false" customWidth="true" hidden="false" outlineLevel="0" max="4" min="4" style="0" width="9"/>
    <col collapsed="false" customWidth="true" hidden="false" outlineLevel="0" max="5" min="5" style="0" width="14.57"/>
    <col collapsed="false" customWidth="true" hidden="false" outlineLevel="0" max="6" min="6" style="0" width="5.86"/>
    <col collapsed="false" customWidth="true" hidden="false" outlineLevel="0" max="7" min="7" style="0" width="11.86"/>
    <col collapsed="false" customWidth="true" hidden="false" outlineLevel="0" max="8" min="8" style="0" width="10.86"/>
    <col collapsed="false" customWidth="true" hidden="false" outlineLevel="0" max="9" min="9" style="0" width="6.71"/>
    <col collapsed="false" customWidth="true" hidden="false" outlineLevel="0" max="10" min="10" style="0" width="5"/>
    <col collapsed="false" customWidth="true" hidden="false" outlineLevel="0" max="11" min="11" style="0" width="5.29"/>
    <col collapsed="false" customWidth="true" hidden="false" outlineLevel="0" max="12" min="12" style="0" width="17.29"/>
    <col collapsed="false" customWidth="true" hidden="false" outlineLevel="0" max="13" min="13" style="0" width="8.43"/>
    <col collapsed="false" customWidth="true" hidden="false" outlineLevel="0" max="14" min="14" style="0" width="5.43"/>
    <col collapsed="false" customWidth="true" hidden="true" outlineLevel="0" max="15" min="15" style="0" width="11.86"/>
    <col collapsed="false" customWidth="true" hidden="true" outlineLevel="0" max="16" min="16" style="0" width="7.57"/>
    <col collapsed="false" customWidth="true" hidden="false" outlineLevel="0" max="17" min="17" style="0" width="6.29"/>
  </cols>
  <sheetData>
    <row r="1" customFormat="false" ht="15" hidden="false" customHeight="false" outlineLevel="0" collapsed="false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customFormat="false" ht="15" hidden="false" customHeight="false" outlineLevel="0" collapsed="false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customFormat="false" ht="15" hidden="false" customHeight="false" outlineLevel="0" collapsed="false">
      <c r="A3" s="19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20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167</v>
      </c>
      <c r="P3" s="6" t="s">
        <v>14</v>
      </c>
      <c r="Q3" s="6" t="s">
        <v>16</v>
      </c>
    </row>
    <row r="4" customFormat="false" ht="15" hidden="false" customHeight="false" outlineLevel="0" collapsed="false">
      <c r="A4" s="21"/>
      <c r="B4" s="2"/>
      <c r="C4" s="6" t="s">
        <v>544</v>
      </c>
      <c r="D4" s="7"/>
      <c r="E4" s="2"/>
      <c r="F4" s="2"/>
      <c r="G4" s="2"/>
      <c r="H4" s="2"/>
      <c r="I4" s="2"/>
      <c r="J4" s="2"/>
      <c r="K4" s="2"/>
      <c r="L4" s="8"/>
      <c r="M4" s="22"/>
      <c r="N4" s="6"/>
      <c r="O4" s="6"/>
      <c r="P4" s="6"/>
      <c r="Q4" s="6"/>
    </row>
    <row r="5" customFormat="false" ht="15" hidden="false" customHeight="false" outlineLevel="0" collapsed="false">
      <c r="A5" s="23" t="n">
        <v>1</v>
      </c>
      <c r="B5" s="10" t="n">
        <v>846874</v>
      </c>
      <c r="C5" s="11" t="s">
        <v>545</v>
      </c>
      <c r="D5" s="12" t="n">
        <v>37552</v>
      </c>
      <c r="E5" s="11" t="s">
        <v>546</v>
      </c>
      <c r="F5" s="11" t="s">
        <v>151</v>
      </c>
      <c r="G5" s="11" t="s">
        <v>278</v>
      </c>
      <c r="H5" s="11" t="n">
        <v>11582172</v>
      </c>
      <c r="I5" s="11" t="n">
        <v>3208279</v>
      </c>
      <c r="J5" s="11" t="n">
        <v>60</v>
      </c>
      <c r="K5" s="11" t="s">
        <v>22</v>
      </c>
      <c r="L5" s="11" t="s">
        <v>153</v>
      </c>
      <c r="M5" s="24" t="n">
        <v>45728</v>
      </c>
      <c r="N5" s="25" t="n">
        <f aca="false">INT((M5-D5)/365.25)</f>
        <v>22</v>
      </c>
      <c r="O5" s="12" t="s">
        <v>30</v>
      </c>
      <c r="P5" s="12" t="s">
        <v>30</v>
      </c>
      <c r="Q5" s="12" t="s">
        <v>22</v>
      </c>
    </row>
    <row r="6" customFormat="false" ht="15" hidden="false" customHeight="false" outlineLevel="0" collapsed="false">
      <c r="A6" s="23" t="n">
        <v>2</v>
      </c>
      <c r="B6" s="10" t="n">
        <v>866153</v>
      </c>
      <c r="C6" s="11" t="s">
        <v>259</v>
      </c>
      <c r="D6" s="12" t="n">
        <v>34037</v>
      </c>
      <c r="E6" s="11" t="s">
        <v>538</v>
      </c>
      <c r="F6" s="11" t="s">
        <v>151</v>
      </c>
      <c r="G6" s="11" t="s">
        <v>260</v>
      </c>
      <c r="H6" s="11" t="s">
        <v>261</v>
      </c>
      <c r="I6" s="11" t="n">
        <v>59475</v>
      </c>
      <c r="J6" s="11" t="n">
        <v>388</v>
      </c>
      <c r="K6" s="11" t="s">
        <v>22</v>
      </c>
      <c r="L6" s="11" t="s">
        <v>153</v>
      </c>
      <c r="M6" s="24" t="n">
        <v>45728</v>
      </c>
      <c r="N6" s="25" t="n">
        <f aca="false">INT((M6-D6)/365.25)</f>
        <v>32</v>
      </c>
      <c r="O6" s="12"/>
      <c r="P6" s="12"/>
      <c r="Q6" s="12" t="s">
        <v>22</v>
      </c>
    </row>
    <row r="7" customFormat="false" ht="15" hidden="false" customHeight="false" outlineLevel="0" collapsed="false">
      <c r="A7" s="23" t="n">
        <v>3</v>
      </c>
      <c r="B7" s="10" t="n">
        <v>867465</v>
      </c>
      <c r="C7" s="11" t="s">
        <v>547</v>
      </c>
      <c r="D7" s="12" t="n">
        <v>33896</v>
      </c>
      <c r="E7" s="11" t="s">
        <v>538</v>
      </c>
      <c r="F7" s="11" t="s">
        <v>151</v>
      </c>
      <c r="G7" s="11" t="s">
        <v>548</v>
      </c>
      <c r="H7" s="11" t="s">
        <v>549</v>
      </c>
      <c r="I7" s="11" t="n">
        <v>580255</v>
      </c>
      <c r="J7" s="11" t="n">
        <v>1313</v>
      </c>
      <c r="K7" s="11" t="s">
        <v>22</v>
      </c>
      <c r="L7" s="11" t="s">
        <v>153</v>
      </c>
      <c r="M7" s="24" t="n">
        <v>45728</v>
      </c>
      <c r="N7" s="25" t="n">
        <f aca="false">INT((M7-D7)/365.25)</f>
        <v>32</v>
      </c>
      <c r="O7" s="12"/>
      <c r="P7" s="12"/>
      <c r="Q7" s="12" t="s">
        <v>22</v>
      </c>
    </row>
    <row r="8" customFormat="false" ht="15" hidden="false" customHeight="false" outlineLevel="0" collapsed="false">
      <c r="A8" s="23" t="n">
        <v>4</v>
      </c>
      <c r="B8" s="10" t="n">
        <v>867467</v>
      </c>
      <c r="C8" s="11" t="s">
        <v>550</v>
      </c>
      <c r="D8" s="12" t="n">
        <v>31325</v>
      </c>
      <c r="E8" s="11" t="s">
        <v>538</v>
      </c>
      <c r="F8" s="11" t="s">
        <v>151</v>
      </c>
      <c r="G8" s="11" t="s">
        <v>551</v>
      </c>
      <c r="H8" s="11" t="s">
        <v>552</v>
      </c>
      <c r="I8" s="11" t="n">
        <v>2401777</v>
      </c>
      <c r="J8" s="11" t="n">
        <v>7848</v>
      </c>
      <c r="K8" s="11" t="s">
        <v>22</v>
      </c>
      <c r="L8" s="11" t="s">
        <v>153</v>
      </c>
      <c r="M8" s="24" t="n">
        <v>45728</v>
      </c>
      <c r="N8" s="25" t="n">
        <f aca="false">INT((M8-D8)/365.25)</f>
        <v>39</v>
      </c>
      <c r="O8" s="12"/>
      <c r="P8" s="12"/>
      <c r="Q8" s="12" t="s">
        <v>22</v>
      </c>
    </row>
    <row r="9" customFormat="false" ht="15" hidden="false" customHeight="false" outlineLevel="0" collapsed="false">
      <c r="A9" s="23" t="n">
        <v>5</v>
      </c>
      <c r="B9" s="10" t="n">
        <v>860451</v>
      </c>
      <c r="C9" s="11" t="s">
        <v>553</v>
      </c>
      <c r="D9" s="12" t="n">
        <v>26750</v>
      </c>
      <c r="E9" s="11" t="s">
        <v>538</v>
      </c>
      <c r="F9" s="11" t="s">
        <v>151</v>
      </c>
      <c r="G9" s="11" t="s">
        <v>554</v>
      </c>
      <c r="H9" s="11" t="s">
        <v>555</v>
      </c>
      <c r="I9" s="11" t="n">
        <v>6368007</v>
      </c>
      <c r="J9" s="11" t="n">
        <v>6304</v>
      </c>
      <c r="K9" s="11" t="s">
        <v>22</v>
      </c>
      <c r="L9" s="11" t="s">
        <v>153</v>
      </c>
      <c r="M9" s="24" t="n">
        <v>45728</v>
      </c>
      <c r="N9" s="25" t="n">
        <f aca="false">INT((M9-D9)/365.25)</f>
        <v>51</v>
      </c>
      <c r="O9" s="12"/>
      <c r="P9" s="12"/>
      <c r="Q9" s="12" t="s">
        <v>22</v>
      </c>
    </row>
    <row r="10" customFormat="false" ht="15" hidden="false" customHeight="false" outlineLevel="0" collapsed="false">
      <c r="A10" s="23" t="n">
        <v>6</v>
      </c>
      <c r="B10" s="10" t="n">
        <v>867538</v>
      </c>
      <c r="C10" s="11" t="s">
        <v>556</v>
      </c>
      <c r="D10" s="12" t="n">
        <v>35845</v>
      </c>
      <c r="E10" s="11" t="s">
        <v>538</v>
      </c>
      <c r="F10" s="11" t="s">
        <v>151</v>
      </c>
      <c r="G10" s="11" t="s">
        <v>557</v>
      </c>
      <c r="H10" s="11" t="s">
        <v>558</v>
      </c>
      <c r="I10" s="11" t="n">
        <v>9660570</v>
      </c>
      <c r="J10" s="11" t="n">
        <v>50</v>
      </c>
      <c r="K10" s="11" t="s">
        <v>22</v>
      </c>
      <c r="L10" s="11" t="s">
        <v>153</v>
      </c>
      <c r="M10" s="24" t="n">
        <v>45728</v>
      </c>
      <c r="N10" s="25" t="n">
        <f aca="false">INT((M10-D10)/365.25)</f>
        <v>27</v>
      </c>
      <c r="O10" s="12"/>
      <c r="P10" s="12"/>
      <c r="Q10" s="12" t="s">
        <v>22</v>
      </c>
    </row>
    <row r="11" customFormat="false" ht="15" hidden="false" customHeight="false" outlineLevel="0" collapsed="false">
      <c r="A11" s="23" t="n">
        <v>7</v>
      </c>
      <c r="B11" s="10" t="n">
        <v>867626</v>
      </c>
      <c r="C11" s="11" t="s">
        <v>559</v>
      </c>
      <c r="D11" s="12" t="n">
        <v>25829</v>
      </c>
      <c r="E11" s="11" t="s">
        <v>538</v>
      </c>
      <c r="F11" s="11" t="s">
        <v>151</v>
      </c>
      <c r="G11" s="11" t="s">
        <v>560</v>
      </c>
      <c r="H11" s="11" t="s">
        <v>561</v>
      </c>
      <c r="I11" s="11" t="n">
        <v>87176</v>
      </c>
      <c r="J11" s="11" t="n">
        <v>22</v>
      </c>
      <c r="K11" s="11" t="s">
        <v>22</v>
      </c>
      <c r="L11" s="11" t="s">
        <v>153</v>
      </c>
      <c r="M11" s="24" t="n">
        <v>45728</v>
      </c>
      <c r="N11" s="25" t="n">
        <f aca="false">INT((M11-D11)/365.25)</f>
        <v>54</v>
      </c>
      <c r="O11" s="12"/>
      <c r="P11" s="12"/>
      <c r="Q11" s="12" t="s">
        <v>22</v>
      </c>
    </row>
    <row r="12" customFormat="false" ht="15" hidden="false" customHeight="false" outlineLevel="0" collapsed="false">
      <c r="A12" s="23" t="n">
        <v>8</v>
      </c>
      <c r="B12" s="10" t="n">
        <v>867788</v>
      </c>
      <c r="C12" s="11" t="s">
        <v>562</v>
      </c>
      <c r="D12" s="12" t="n">
        <v>36644</v>
      </c>
      <c r="E12" s="11" t="s">
        <v>538</v>
      </c>
      <c r="F12" s="11" t="s">
        <v>151</v>
      </c>
      <c r="G12" s="11" t="s">
        <v>563</v>
      </c>
      <c r="H12" s="11" t="n">
        <v>10241653</v>
      </c>
      <c r="I12" s="11" t="n">
        <v>7131146</v>
      </c>
      <c r="J12" s="11" t="n">
        <v>8463</v>
      </c>
      <c r="K12" s="11" t="s">
        <v>22</v>
      </c>
      <c r="L12" s="11" t="s">
        <v>153</v>
      </c>
      <c r="M12" s="24" t="n">
        <v>45728</v>
      </c>
      <c r="N12" s="25" t="n">
        <f aca="false">INT((M12-D12)/365.25)</f>
        <v>24</v>
      </c>
      <c r="O12" s="12"/>
      <c r="P12" s="12"/>
      <c r="Q12" s="12" t="s">
        <v>22</v>
      </c>
    </row>
    <row r="13" customFormat="false" ht="15" hidden="false" customHeight="false" outlineLevel="0" collapsed="false">
      <c r="A13" s="23" t="n">
        <v>9</v>
      </c>
      <c r="B13" s="10" t="n">
        <v>867787</v>
      </c>
      <c r="C13" s="11" t="s">
        <v>564</v>
      </c>
      <c r="D13" s="12" t="n">
        <v>38617</v>
      </c>
      <c r="E13" s="11" t="s">
        <v>538</v>
      </c>
      <c r="F13" s="11" t="s">
        <v>151</v>
      </c>
      <c r="G13" s="11" t="s">
        <v>565</v>
      </c>
      <c r="H13" s="11" t="n">
        <v>11906975</v>
      </c>
      <c r="I13" s="11" t="n">
        <v>1368989</v>
      </c>
      <c r="J13" s="11" t="n">
        <v>3496</v>
      </c>
      <c r="K13" s="11" t="s">
        <v>22</v>
      </c>
      <c r="L13" s="11" t="s">
        <v>153</v>
      </c>
      <c r="M13" s="24" t="n">
        <v>45728</v>
      </c>
      <c r="N13" s="25" t="n">
        <f aca="false">INT((M13-D13)/365.25)</f>
        <v>19</v>
      </c>
      <c r="O13" s="12"/>
      <c r="P13" s="12"/>
      <c r="Q13" s="12" t="s">
        <v>22</v>
      </c>
    </row>
  </sheetData>
  <mergeCells count="1">
    <mergeCell ref="A1:Q2"/>
  </mergeCells>
  <conditionalFormatting sqref="N5:N13">
    <cfRule type="colorScale" priority="2">
      <colorScale>
        <cfvo type="num" val="17"/>
        <cfvo type="num" val="18"/>
        <color rgb="FFFF0000"/>
        <color rgb="FF92D050"/>
      </colorScale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true"/>
  </sheetPr>
  <dimension ref="A1:P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5.86"/>
    <col collapsed="false" customWidth="true" hidden="false" outlineLevel="0" max="3" min="3" style="0" width="29"/>
    <col collapsed="false" customWidth="true" hidden="false" outlineLevel="0" max="4" min="4" style="0" width="9"/>
    <col collapsed="false" customWidth="true" hidden="false" outlineLevel="0" max="5" min="5" style="0" width="14.43"/>
    <col collapsed="false" customWidth="true" hidden="false" outlineLevel="0" max="6" min="6" style="0" width="6.43"/>
    <col collapsed="false" customWidth="true" hidden="false" outlineLevel="0" max="7" min="7" style="0" width="11.86"/>
    <col collapsed="false" customWidth="true" hidden="false" outlineLevel="0" max="8" min="8" style="0" width="10.57"/>
    <col collapsed="false" customWidth="true" hidden="false" outlineLevel="0" max="9" min="9" style="0" width="6.86"/>
    <col collapsed="false" customWidth="true" hidden="false" outlineLevel="0" max="10" min="10" style="0" width="4.43"/>
    <col collapsed="false" customWidth="true" hidden="false" outlineLevel="0" max="11" min="11" style="0" width="5.29"/>
    <col collapsed="false" customWidth="true" hidden="false" outlineLevel="0" max="12" min="12" style="0" width="17.29"/>
    <col collapsed="false" customWidth="true" hidden="false" outlineLevel="0" max="14" min="14" style="0" width="5.14"/>
    <col collapsed="false" customWidth="true" hidden="true" outlineLevel="0" max="15" min="15" style="0" width="7.86"/>
    <col collapsed="false" customWidth="true" hidden="false" outlineLevel="0" max="16" min="16" style="0" width="6"/>
  </cols>
  <sheetData>
    <row r="1" customFormat="false" ht="15" hidden="false" customHeight="false" outlineLevel="0" collapsed="false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customFormat="false" ht="15" hidden="false" customHeight="false" outlineLevel="0" collapsed="false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customFormat="false" ht="15" hidden="false" customHeight="false" outlineLevel="0" collapsed="false">
      <c r="A3" s="19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20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16</v>
      </c>
    </row>
    <row r="4" customFormat="false" ht="15" hidden="false" customHeight="false" outlineLevel="0" collapsed="false">
      <c r="A4" s="21"/>
      <c r="B4" s="2"/>
      <c r="C4" s="6" t="s">
        <v>566</v>
      </c>
      <c r="D4" s="7"/>
      <c r="E4" s="2"/>
      <c r="F4" s="2"/>
      <c r="G4" s="2"/>
      <c r="H4" s="2"/>
      <c r="I4" s="2"/>
      <c r="J4" s="2"/>
      <c r="K4" s="2"/>
      <c r="L4" s="8"/>
      <c r="M4" s="22"/>
      <c r="N4" s="6"/>
      <c r="O4" s="6"/>
      <c r="P4" s="6"/>
    </row>
    <row r="5" customFormat="false" ht="15" hidden="false" customHeight="false" outlineLevel="0" collapsed="false">
      <c r="A5" s="23" t="n">
        <v>1</v>
      </c>
      <c r="B5" s="10" t="n">
        <v>866650</v>
      </c>
      <c r="C5" s="11" t="s">
        <v>567</v>
      </c>
      <c r="D5" s="12" t="n">
        <v>23410</v>
      </c>
      <c r="E5" s="11" t="s">
        <v>427</v>
      </c>
      <c r="F5" s="11" t="s">
        <v>165</v>
      </c>
      <c r="G5" s="11" t="s">
        <v>568</v>
      </c>
      <c r="H5" s="11" t="n">
        <v>1503029</v>
      </c>
      <c r="I5" s="11" t="n">
        <v>4719529</v>
      </c>
      <c r="J5" s="11" t="n">
        <v>204</v>
      </c>
      <c r="K5" s="11" t="s">
        <v>22</v>
      </c>
      <c r="L5" s="11" t="s">
        <v>153</v>
      </c>
      <c r="M5" s="24" t="n">
        <v>45728</v>
      </c>
      <c r="N5" s="25" t="n">
        <f aca="false">INT((M5-D5)/365.25)</f>
        <v>61</v>
      </c>
      <c r="O5" s="12" t="s">
        <v>30</v>
      </c>
      <c r="P5" s="12" t="s">
        <v>22</v>
      </c>
    </row>
    <row r="6" customFormat="false" ht="15" hidden="false" customHeight="false" outlineLevel="0" collapsed="false">
      <c r="A6" s="23" t="n">
        <v>2</v>
      </c>
      <c r="B6" s="10" t="n">
        <v>857988</v>
      </c>
      <c r="C6" s="11" t="s">
        <v>569</v>
      </c>
      <c r="D6" s="12" t="n">
        <v>29655</v>
      </c>
      <c r="E6" s="11" t="s">
        <v>427</v>
      </c>
      <c r="F6" s="11" t="s">
        <v>165</v>
      </c>
      <c r="G6" s="11" t="s">
        <v>570</v>
      </c>
      <c r="H6" s="11" t="n">
        <v>7808284</v>
      </c>
      <c r="I6" s="11" t="n">
        <v>49878</v>
      </c>
      <c r="J6" s="11" t="n">
        <v>34</v>
      </c>
      <c r="K6" s="11" t="s">
        <v>22</v>
      </c>
      <c r="L6" s="11" t="s">
        <v>153</v>
      </c>
      <c r="M6" s="24" t="n">
        <v>45728</v>
      </c>
      <c r="N6" s="25" t="n">
        <f aca="false">INT((M6-D6)/365.25)</f>
        <v>44</v>
      </c>
      <c r="O6" s="12" t="s">
        <v>30</v>
      </c>
      <c r="P6" s="12" t="s">
        <v>22</v>
      </c>
    </row>
    <row r="7" customFormat="false" ht="15" hidden="false" customHeight="false" outlineLevel="0" collapsed="false">
      <c r="A7" s="23" t="n">
        <v>3</v>
      </c>
      <c r="B7" s="10" t="n">
        <v>866647</v>
      </c>
      <c r="C7" s="11" t="s">
        <v>571</v>
      </c>
      <c r="D7" s="12" t="n">
        <v>34428</v>
      </c>
      <c r="E7" s="11" t="s">
        <v>427</v>
      </c>
      <c r="F7" s="11" t="s">
        <v>165</v>
      </c>
      <c r="G7" s="11" t="s">
        <v>572</v>
      </c>
      <c r="H7" s="11" t="n">
        <v>7638667</v>
      </c>
      <c r="I7" s="11" t="n">
        <v>93989</v>
      </c>
      <c r="J7" s="11" t="n">
        <v>64</v>
      </c>
      <c r="K7" s="11" t="s">
        <v>22</v>
      </c>
      <c r="L7" s="11" t="s">
        <v>153</v>
      </c>
      <c r="M7" s="24" t="n">
        <v>45728</v>
      </c>
      <c r="N7" s="25" t="n">
        <f aca="false">INT((M7-D7)/365.25)</f>
        <v>30</v>
      </c>
      <c r="O7" s="12" t="s">
        <v>30</v>
      </c>
      <c r="P7" s="12" t="s">
        <v>22</v>
      </c>
    </row>
    <row r="8" customFormat="false" ht="15" hidden="false" customHeight="false" outlineLevel="0" collapsed="false">
      <c r="A8" s="23" t="n">
        <v>4</v>
      </c>
      <c r="B8" s="10" t="n">
        <v>857983</v>
      </c>
      <c r="C8" s="34" t="s">
        <v>573</v>
      </c>
      <c r="D8" s="12" t="n">
        <v>37851</v>
      </c>
      <c r="E8" s="11" t="s">
        <v>427</v>
      </c>
      <c r="F8" s="11" t="s">
        <v>165</v>
      </c>
      <c r="G8" s="11" t="s">
        <v>574</v>
      </c>
      <c r="H8" s="11" t="n">
        <v>8767759</v>
      </c>
      <c r="I8" s="11" t="n">
        <v>786976</v>
      </c>
      <c r="J8" s="11" t="n">
        <v>1281</v>
      </c>
      <c r="K8" s="11" t="s">
        <v>22</v>
      </c>
      <c r="L8" s="11" t="s">
        <v>153</v>
      </c>
      <c r="M8" s="24" t="n">
        <v>45728</v>
      </c>
      <c r="N8" s="25" t="n">
        <f aca="false">INT((M8-D8)/365.25)</f>
        <v>21</v>
      </c>
      <c r="O8" s="12" t="s">
        <v>30</v>
      </c>
      <c r="P8" s="12" t="s">
        <v>22</v>
      </c>
    </row>
    <row r="9" customFormat="false" ht="15" hidden="false" customHeight="false" outlineLevel="0" collapsed="false">
      <c r="A9" s="23" t="n">
        <v>5</v>
      </c>
      <c r="B9" s="10" t="n">
        <v>867542</v>
      </c>
      <c r="C9" s="17" t="s">
        <v>575</v>
      </c>
      <c r="D9" s="12" t="n">
        <v>38148</v>
      </c>
      <c r="E9" s="11" t="s">
        <v>427</v>
      </c>
      <c r="F9" s="11" t="s">
        <v>165</v>
      </c>
      <c r="G9" s="11" t="s">
        <v>576</v>
      </c>
      <c r="H9" s="11" t="n">
        <v>10555030</v>
      </c>
      <c r="I9" s="11" t="n">
        <v>1018667</v>
      </c>
      <c r="J9" s="11" t="n">
        <v>8223</v>
      </c>
      <c r="K9" s="11" t="s">
        <v>22</v>
      </c>
      <c r="L9" s="11" t="s">
        <v>153</v>
      </c>
      <c r="M9" s="24" t="n">
        <v>45728</v>
      </c>
      <c r="N9" s="25" t="n">
        <f aca="false">INT((M9-D9)/365.25)</f>
        <v>20</v>
      </c>
      <c r="O9" s="12" t="s">
        <v>30</v>
      </c>
      <c r="P9" s="12" t="s">
        <v>22</v>
      </c>
    </row>
    <row r="10" customFormat="false" ht="15" hidden="false" customHeight="false" outlineLevel="0" collapsed="false">
      <c r="A10" s="23" t="n">
        <v>6</v>
      </c>
      <c r="B10" s="10" t="n">
        <v>866686</v>
      </c>
      <c r="C10" s="11" t="s">
        <v>577</v>
      </c>
      <c r="D10" s="12" t="n">
        <v>37325</v>
      </c>
      <c r="E10" s="11" t="s">
        <v>427</v>
      </c>
      <c r="F10" s="11" t="s">
        <v>165</v>
      </c>
      <c r="G10" s="11" t="s">
        <v>578</v>
      </c>
      <c r="H10" s="11" t="n">
        <v>9349548</v>
      </c>
      <c r="I10" s="11" t="n">
        <v>1088388</v>
      </c>
      <c r="J10" s="11" t="n">
        <v>8254</v>
      </c>
      <c r="K10" s="11" t="s">
        <v>22</v>
      </c>
      <c r="L10" s="11" t="s">
        <v>153</v>
      </c>
      <c r="M10" s="24" t="n">
        <v>45728</v>
      </c>
      <c r="N10" s="25" t="n">
        <f aca="false">INT((M10-D10)/365.25)</f>
        <v>23</v>
      </c>
      <c r="O10" s="12" t="s">
        <v>30</v>
      </c>
      <c r="P10" s="12" t="s">
        <v>22</v>
      </c>
    </row>
    <row r="11" customFormat="false" ht="15" hidden="false" customHeight="false" outlineLevel="0" collapsed="false">
      <c r="A11" s="23" t="n">
        <v>7</v>
      </c>
      <c r="B11" s="10" t="n">
        <v>858106</v>
      </c>
      <c r="C11" s="11" t="s">
        <v>579</v>
      </c>
      <c r="D11" s="12" t="n">
        <v>29225</v>
      </c>
      <c r="E11" s="11" t="s">
        <v>427</v>
      </c>
      <c r="F11" s="11" t="s">
        <v>165</v>
      </c>
      <c r="G11" s="11" t="s">
        <v>580</v>
      </c>
      <c r="H11" s="11" t="n">
        <v>3330021</v>
      </c>
      <c r="I11" s="11" t="n">
        <v>30694</v>
      </c>
      <c r="J11" s="11" t="n">
        <v>34</v>
      </c>
      <c r="K11" s="11" t="s">
        <v>22</v>
      </c>
      <c r="L11" s="11" t="s">
        <v>153</v>
      </c>
      <c r="M11" s="24" t="n">
        <v>45728</v>
      </c>
      <c r="N11" s="25" t="n">
        <f aca="false">INT((M11-D11)/365.25)</f>
        <v>45</v>
      </c>
      <c r="O11" s="12" t="s">
        <v>30</v>
      </c>
      <c r="P11" s="12" t="s">
        <v>22</v>
      </c>
    </row>
    <row r="12" customFormat="false" ht="15" hidden="false" customHeight="false" outlineLevel="0" collapsed="false">
      <c r="A12" s="23" t="n">
        <v>8</v>
      </c>
      <c r="B12" s="10" t="n">
        <v>866653</v>
      </c>
      <c r="C12" s="11" t="s">
        <v>581</v>
      </c>
      <c r="D12" s="12" t="n">
        <v>38144</v>
      </c>
      <c r="E12" s="11" t="s">
        <v>427</v>
      </c>
      <c r="F12" s="11" t="s">
        <v>165</v>
      </c>
      <c r="G12" s="11" t="s">
        <v>582</v>
      </c>
      <c r="H12" s="11" t="n">
        <v>9886332</v>
      </c>
      <c r="I12" s="11" t="n">
        <v>957418</v>
      </c>
      <c r="J12" s="11" t="n">
        <v>4269</v>
      </c>
      <c r="K12" s="11" t="s">
        <v>22</v>
      </c>
      <c r="L12" s="11" t="s">
        <v>153</v>
      </c>
      <c r="M12" s="24" t="n">
        <v>45728</v>
      </c>
      <c r="N12" s="25" t="n">
        <f aca="false">INT((M12-D12)/365.25)</f>
        <v>20</v>
      </c>
      <c r="O12" s="12" t="s">
        <v>30</v>
      </c>
      <c r="P12" s="12" t="s">
        <v>22</v>
      </c>
    </row>
    <row r="13" customFormat="false" ht="15" hidden="false" customHeight="false" outlineLevel="0" collapsed="false">
      <c r="A13" s="23" t="n">
        <v>9</v>
      </c>
      <c r="B13" s="10" t="n">
        <v>862878</v>
      </c>
      <c r="C13" s="34" t="s">
        <v>583</v>
      </c>
      <c r="D13" s="12" t="n">
        <v>38774</v>
      </c>
      <c r="E13" s="11" t="s">
        <v>427</v>
      </c>
      <c r="F13" s="11" t="s">
        <v>165</v>
      </c>
      <c r="G13" s="11" t="s">
        <v>584</v>
      </c>
      <c r="H13" s="11" t="n">
        <v>9886333</v>
      </c>
      <c r="I13" s="11" t="n">
        <v>7133109</v>
      </c>
      <c r="J13" s="11" t="n">
        <v>7274</v>
      </c>
      <c r="K13" s="11" t="s">
        <v>22</v>
      </c>
      <c r="L13" s="11" t="s">
        <v>153</v>
      </c>
      <c r="M13" s="24" t="n">
        <v>45728</v>
      </c>
      <c r="N13" s="25" t="n">
        <f aca="false">INT((M13-D13)/365.25)</f>
        <v>19</v>
      </c>
      <c r="O13" s="12" t="s">
        <v>30</v>
      </c>
      <c r="P13" s="12" t="s">
        <v>22</v>
      </c>
    </row>
    <row r="14" customFormat="false" ht="15" hidden="false" customHeight="false" outlineLevel="0" collapsed="false">
      <c r="A14" s="23" t="n">
        <v>10</v>
      </c>
      <c r="B14" s="10" t="n">
        <v>867955</v>
      </c>
      <c r="C14" s="34" t="s">
        <v>585</v>
      </c>
      <c r="D14" s="12" t="n">
        <v>31299</v>
      </c>
      <c r="E14" s="11" t="s">
        <v>427</v>
      </c>
      <c r="F14" s="11" t="s">
        <v>165</v>
      </c>
      <c r="G14" s="11" t="s">
        <v>586</v>
      </c>
      <c r="H14" s="11" t="n">
        <v>6722034</v>
      </c>
      <c r="I14" s="11" t="n">
        <v>148137</v>
      </c>
      <c r="J14" s="11" t="n">
        <v>3269</v>
      </c>
      <c r="K14" s="11" t="s">
        <v>22</v>
      </c>
      <c r="L14" s="11" t="s">
        <v>153</v>
      </c>
      <c r="M14" s="24" t="n">
        <v>45728</v>
      </c>
      <c r="N14" s="25" t="n">
        <f aca="false">INT((M14-D14)/365.25)</f>
        <v>39</v>
      </c>
      <c r="O14" s="12" t="s">
        <v>30</v>
      </c>
      <c r="P14" s="12" t="s">
        <v>22</v>
      </c>
    </row>
    <row r="15" customFormat="false" ht="15" hidden="false" customHeight="false" outlineLevel="0" collapsed="false">
      <c r="A15" s="23" t="n">
        <v>11</v>
      </c>
      <c r="B15" s="10" t="n">
        <v>867396</v>
      </c>
      <c r="C15" s="11" t="s">
        <v>587</v>
      </c>
      <c r="D15" s="12" t="n">
        <v>32915</v>
      </c>
      <c r="E15" s="11" t="s">
        <v>427</v>
      </c>
      <c r="F15" s="11" t="s">
        <v>165</v>
      </c>
      <c r="G15" s="11" t="s">
        <v>588</v>
      </c>
      <c r="H15" s="11" t="n">
        <v>6511282</v>
      </c>
      <c r="I15" s="11" t="n">
        <v>27616</v>
      </c>
      <c r="J15" s="11" t="n">
        <v>57</v>
      </c>
      <c r="K15" s="11" t="s">
        <v>22</v>
      </c>
      <c r="L15" s="11" t="s">
        <v>153</v>
      </c>
      <c r="M15" s="24" t="n">
        <v>45728</v>
      </c>
      <c r="N15" s="25" t="n">
        <f aca="false">INT((M15-D15)/365.25)</f>
        <v>35</v>
      </c>
      <c r="O15" s="12" t="s">
        <v>30</v>
      </c>
      <c r="P15" s="12" t="s">
        <v>22</v>
      </c>
    </row>
    <row r="16" customFormat="false" ht="15" hidden="false" customHeight="false" outlineLevel="0" collapsed="false">
      <c r="A16" s="23" t="n">
        <v>12</v>
      </c>
      <c r="B16" s="10" t="n">
        <v>866657</v>
      </c>
      <c r="C16" s="11" t="s">
        <v>589</v>
      </c>
      <c r="D16" s="12" t="n">
        <v>38159</v>
      </c>
      <c r="E16" s="11" t="s">
        <v>427</v>
      </c>
      <c r="F16" s="11" t="s">
        <v>165</v>
      </c>
      <c r="G16" s="11" t="s">
        <v>590</v>
      </c>
      <c r="H16" s="11" t="n">
        <v>9920060</v>
      </c>
      <c r="I16" s="11" t="n">
        <v>793674</v>
      </c>
      <c r="J16" s="11" t="n">
        <v>9217</v>
      </c>
      <c r="K16" s="11" t="s">
        <v>22</v>
      </c>
      <c r="L16" s="11" t="s">
        <v>153</v>
      </c>
      <c r="M16" s="24" t="n">
        <v>45728</v>
      </c>
      <c r="N16" s="25" t="n">
        <f aca="false">INT((M16-D16)/365.25)</f>
        <v>20</v>
      </c>
      <c r="O16" s="12" t="s">
        <v>30</v>
      </c>
      <c r="P16" s="12" t="s">
        <v>22</v>
      </c>
    </row>
    <row r="17" customFormat="false" ht="15" hidden="false" customHeight="false" outlineLevel="0" collapsed="false">
      <c r="A17" s="23" t="n">
        <v>13</v>
      </c>
      <c r="B17" s="10" t="n">
        <v>857962</v>
      </c>
      <c r="C17" s="11" t="s">
        <v>591</v>
      </c>
      <c r="D17" s="12" t="n">
        <v>31580</v>
      </c>
      <c r="E17" s="11" t="s">
        <v>427</v>
      </c>
      <c r="F17" s="11" t="s">
        <v>165</v>
      </c>
      <c r="G17" s="11" t="s">
        <v>592</v>
      </c>
      <c r="H17" s="11" t="n">
        <v>8638597</v>
      </c>
      <c r="I17" s="11" t="n">
        <v>93945</v>
      </c>
      <c r="J17" s="11" t="n">
        <v>66</v>
      </c>
      <c r="K17" s="11" t="s">
        <v>22</v>
      </c>
      <c r="L17" s="11" t="s">
        <v>153</v>
      </c>
      <c r="M17" s="24" t="n">
        <v>45728</v>
      </c>
      <c r="N17" s="25" t="n">
        <f aca="false">INT((M17-D17)/365.25)</f>
        <v>38</v>
      </c>
      <c r="O17" s="12" t="s">
        <v>30</v>
      </c>
      <c r="P17" s="12" t="s">
        <v>22</v>
      </c>
    </row>
    <row r="18" customFormat="false" ht="15" hidden="false" customHeight="false" outlineLevel="0" collapsed="false">
      <c r="A18" s="23" t="n">
        <v>14</v>
      </c>
      <c r="B18" s="10" t="n">
        <v>866658</v>
      </c>
      <c r="C18" s="11" t="s">
        <v>593</v>
      </c>
      <c r="D18" s="12" t="n">
        <v>37144</v>
      </c>
      <c r="E18" s="11" t="s">
        <v>427</v>
      </c>
      <c r="F18" s="11" t="s">
        <v>165</v>
      </c>
      <c r="G18" s="11" t="s">
        <v>594</v>
      </c>
      <c r="H18" s="11" t="n">
        <v>7242761</v>
      </c>
      <c r="I18" s="11" t="n">
        <v>274155</v>
      </c>
      <c r="J18" s="11" t="n">
        <v>1251</v>
      </c>
      <c r="K18" s="11" t="s">
        <v>22</v>
      </c>
      <c r="L18" s="11" t="s">
        <v>153</v>
      </c>
      <c r="M18" s="24" t="n">
        <v>45728</v>
      </c>
      <c r="N18" s="25" t="n">
        <f aca="false">INT((M18-D18)/365.25)</f>
        <v>23</v>
      </c>
      <c r="O18" s="12" t="s">
        <v>30</v>
      </c>
      <c r="P18" s="12" t="s">
        <v>22</v>
      </c>
    </row>
    <row r="19" customFormat="false" ht="15" hidden="false" customHeight="false" outlineLevel="0" collapsed="false">
      <c r="A19" s="23" t="n">
        <v>15</v>
      </c>
      <c r="B19" s="10" t="n">
        <v>846575</v>
      </c>
      <c r="C19" s="11" t="s">
        <v>595</v>
      </c>
      <c r="D19" s="12" t="n">
        <v>28671</v>
      </c>
      <c r="E19" s="11" t="s">
        <v>427</v>
      </c>
      <c r="F19" s="11" t="s">
        <v>165</v>
      </c>
      <c r="G19" s="11" t="s">
        <v>596</v>
      </c>
      <c r="H19" s="11" t="n">
        <v>3795242</v>
      </c>
      <c r="I19" s="11" t="n">
        <v>7832333</v>
      </c>
      <c r="J19" s="11" t="n">
        <v>9287</v>
      </c>
      <c r="K19" s="11" t="s">
        <v>22</v>
      </c>
      <c r="L19" s="11" t="s">
        <v>153</v>
      </c>
      <c r="M19" s="24" t="n">
        <v>45728</v>
      </c>
      <c r="N19" s="25" t="n">
        <f aca="false">INT((M19-D19)/365.25)</f>
        <v>46</v>
      </c>
      <c r="O19" s="12" t="s">
        <v>30</v>
      </c>
      <c r="P19" s="12" t="s">
        <v>22</v>
      </c>
    </row>
    <row r="20" customFormat="false" ht="15" hidden="false" customHeight="false" outlineLevel="0" collapsed="false">
      <c r="A20" s="23" t="n">
        <v>16</v>
      </c>
      <c r="B20" s="10" t="n">
        <v>830807</v>
      </c>
      <c r="C20" s="11" t="s">
        <v>597</v>
      </c>
      <c r="D20" s="12" t="n">
        <v>33152</v>
      </c>
      <c r="E20" s="11" t="s">
        <v>427</v>
      </c>
      <c r="F20" s="11" t="s">
        <v>165</v>
      </c>
      <c r="G20" s="11" t="s">
        <v>598</v>
      </c>
      <c r="H20" s="11" t="n">
        <v>6244698</v>
      </c>
      <c r="I20" s="11" t="n">
        <v>133757</v>
      </c>
      <c r="J20" s="11" t="n">
        <v>5283</v>
      </c>
      <c r="K20" s="11" t="s">
        <v>22</v>
      </c>
      <c r="L20" s="11" t="s">
        <v>153</v>
      </c>
      <c r="M20" s="24" t="n">
        <v>45728</v>
      </c>
      <c r="N20" s="25" t="n">
        <f aca="false">INT((M20-D20)/365.25)</f>
        <v>34</v>
      </c>
      <c r="O20" s="12" t="s">
        <v>30</v>
      </c>
      <c r="P20" s="12" t="s">
        <v>22</v>
      </c>
    </row>
    <row r="21" customFormat="false" ht="15" hidden="false" customHeight="false" outlineLevel="0" collapsed="false">
      <c r="A21" s="23" t="n">
        <v>17</v>
      </c>
      <c r="B21" s="10" t="n">
        <v>867543</v>
      </c>
      <c r="C21" s="11" t="s">
        <v>599</v>
      </c>
      <c r="D21" s="12" t="n">
        <v>38142</v>
      </c>
      <c r="E21" s="11" t="s">
        <v>427</v>
      </c>
      <c r="F21" s="11" t="s">
        <v>165</v>
      </c>
      <c r="G21" s="11" t="s">
        <v>600</v>
      </c>
      <c r="H21" s="11" t="n">
        <v>9041801</v>
      </c>
      <c r="I21" s="11" t="n">
        <v>925220</v>
      </c>
      <c r="J21" s="11" t="n">
        <v>4261</v>
      </c>
      <c r="K21" s="11" t="s">
        <v>22</v>
      </c>
      <c r="L21" s="11" t="s">
        <v>153</v>
      </c>
      <c r="M21" s="24" t="n">
        <v>45728</v>
      </c>
      <c r="N21" s="25" t="n">
        <f aca="false">INT((M21-D21)/365.25)</f>
        <v>20</v>
      </c>
      <c r="O21" s="12" t="s">
        <v>30</v>
      </c>
      <c r="P21" s="12" t="s">
        <v>22</v>
      </c>
    </row>
    <row r="22" customFormat="false" ht="15" hidden="false" customHeight="false" outlineLevel="0" collapsed="false">
      <c r="A22" s="23" t="n">
        <v>18</v>
      </c>
      <c r="B22" s="10" t="n">
        <v>866659</v>
      </c>
      <c r="C22" s="11" t="s">
        <v>601</v>
      </c>
      <c r="D22" s="12" t="n">
        <v>37266</v>
      </c>
      <c r="E22" s="11" t="s">
        <v>427</v>
      </c>
      <c r="F22" s="11" t="s">
        <v>165</v>
      </c>
      <c r="G22" s="11" t="s">
        <v>602</v>
      </c>
      <c r="H22" s="11" t="n">
        <v>8830127</v>
      </c>
      <c r="I22" s="11" t="n">
        <v>943681</v>
      </c>
      <c r="J22" s="11" t="n">
        <v>7231</v>
      </c>
      <c r="K22" s="11" t="s">
        <v>22</v>
      </c>
      <c r="L22" s="11" t="s">
        <v>153</v>
      </c>
      <c r="M22" s="24" t="n">
        <v>45728</v>
      </c>
      <c r="N22" s="25" t="n">
        <f aca="false">INT((M22-D22)/365.25)</f>
        <v>23</v>
      </c>
      <c r="O22" s="12" t="s">
        <v>30</v>
      </c>
      <c r="P22" s="12" t="s">
        <v>22</v>
      </c>
    </row>
    <row r="23" customFormat="false" ht="15" hidden="false" customHeight="false" outlineLevel="0" collapsed="false">
      <c r="A23" s="23" t="n">
        <v>19</v>
      </c>
      <c r="B23" s="10" t="n">
        <v>853623</v>
      </c>
      <c r="C23" s="11" t="s">
        <v>603</v>
      </c>
      <c r="D23" s="12" t="n">
        <v>38276</v>
      </c>
      <c r="E23" s="11" t="s">
        <v>427</v>
      </c>
      <c r="F23" s="11" t="s">
        <v>165</v>
      </c>
      <c r="G23" s="11" t="s">
        <v>604</v>
      </c>
      <c r="H23" s="11" t="n">
        <v>9768609</v>
      </c>
      <c r="I23" s="11" t="n">
        <v>980551</v>
      </c>
      <c r="J23" s="11" t="n">
        <v>4200</v>
      </c>
      <c r="K23" s="11" t="s">
        <v>22</v>
      </c>
      <c r="L23" s="11" t="s">
        <v>153</v>
      </c>
      <c r="M23" s="24" t="n">
        <v>45728</v>
      </c>
      <c r="N23" s="25" t="n">
        <f aca="false">INT((M23-D23)/365.25)</f>
        <v>20</v>
      </c>
      <c r="O23" s="12" t="s">
        <v>30</v>
      </c>
      <c r="P23" s="12" t="s">
        <v>22</v>
      </c>
    </row>
    <row r="24" customFormat="false" ht="15" hidden="false" customHeight="false" outlineLevel="0" collapsed="false">
      <c r="A24" s="23" t="n">
        <v>20</v>
      </c>
      <c r="B24" s="10" t="n">
        <v>866665</v>
      </c>
      <c r="C24" s="11" t="s">
        <v>605</v>
      </c>
      <c r="D24" s="12" t="n">
        <v>36211</v>
      </c>
      <c r="E24" s="11" t="s">
        <v>427</v>
      </c>
      <c r="F24" s="11" t="s">
        <v>165</v>
      </c>
      <c r="G24" s="11" t="s">
        <v>606</v>
      </c>
      <c r="H24" s="11" t="n">
        <v>9234236</v>
      </c>
      <c r="I24" s="11" t="n">
        <v>8416</v>
      </c>
      <c r="J24" s="11" t="n">
        <v>77</v>
      </c>
      <c r="K24" s="11" t="s">
        <v>22</v>
      </c>
      <c r="L24" s="11" t="s">
        <v>153</v>
      </c>
      <c r="M24" s="24" t="n">
        <v>45728</v>
      </c>
      <c r="N24" s="25" t="n">
        <f aca="false">INT((M24-D24)/365.25)</f>
        <v>26</v>
      </c>
      <c r="O24" s="12" t="s">
        <v>30</v>
      </c>
      <c r="P24" s="12" t="s">
        <v>22</v>
      </c>
    </row>
    <row r="25" customFormat="false" ht="15" hidden="false" customHeight="false" outlineLevel="0" collapsed="false">
      <c r="A25" s="23" t="n">
        <v>21</v>
      </c>
      <c r="B25" s="10" t="n">
        <v>867826</v>
      </c>
      <c r="C25" s="34" t="s">
        <v>607</v>
      </c>
      <c r="D25" s="12" t="n">
        <v>37294</v>
      </c>
      <c r="E25" s="11" t="s">
        <v>427</v>
      </c>
      <c r="F25" s="11" t="s">
        <v>165</v>
      </c>
      <c r="G25" s="11" t="s">
        <v>608</v>
      </c>
      <c r="H25" s="11" t="n">
        <v>9349581</v>
      </c>
      <c r="I25" s="11" t="n">
        <v>889406</v>
      </c>
      <c r="J25" s="11" t="n">
        <v>5294</v>
      </c>
      <c r="K25" s="11" t="s">
        <v>22</v>
      </c>
      <c r="L25" s="11" t="s">
        <v>153</v>
      </c>
      <c r="M25" s="24" t="n">
        <v>45728</v>
      </c>
      <c r="N25" s="25" t="n">
        <f aca="false">INT((M25-D25)/365.25)</f>
        <v>23</v>
      </c>
      <c r="O25" s="12" t="s">
        <v>30</v>
      </c>
      <c r="P25" s="12" t="s">
        <v>22</v>
      </c>
    </row>
    <row r="26" customFormat="false" ht="15" hidden="false" customHeight="false" outlineLevel="0" collapsed="false">
      <c r="A26" s="23" t="n">
        <v>22</v>
      </c>
      <c r="B26" s="10" t="n">
        <v>866666</v>
      </c>
      <c r="C26" s="11" t="s">
        <v>609</v>
      </c>
      <c r="D26" s="12" t="n">
        <v>38663</v>
      </c>
      <c r="E26" s="11" t="s">
        <v>427</v>
      </c>
      <c r="F26" s="11" t="s">
        <v>165</v>
      </c>
      <c r="G26" s="11" t="s">
        <v>610</v>
      </c>
      <c r="H26" s="11" t="n">
        <v>10388257</v>
      </c>
      <c r="I26" s="11" t="n">
        <v>701763</v>
      </c>
      <c r="J26" s="11" t="n">
        <v>270</v>
      </c>
      <c r="K26" s="11" t="s">
        <v>22</v>
      </c>
      <c r="L26" s="11" t="s">
        <v>153</v>
      </c>
      <c r="M26" s="24" t="n">
        <v>45728</v>
      </c>
      <c r="N26" s="25" t="n">
        <f aca="false">INT((M26-D26)/365.25)</f>
        <v>19</v>
      </c>
      <c r="O26" s="12" t="s">
        <v>30</v>
      </c>
      <c r="P26" s="12" t="s">
        <v>22</v>
      </c>
    </row>
    <row r="27" customFormat="false" ht="15" hidden="false" customHeight="false" outlineLevel="0" collapsed="false">
      <c r="A27" s="23" t="n">
        <v>23</v>
      </c>
      <c r="B27" s="10" t="n">
        <v>866669</v>
      </c>
      <c r="C27" s="11" t="s">
        <v>611</v>
      </c>
      <c r="D27" s="12" t="n">
        <v>37982</v>
      </c>
      <c r="E27" s="11" t="s">
        <v>427</v>
      </c>
      <c r="F27" s="11" t="s">
        <v>165</v>
      </c>
      <c r="G27" s="11" t="s">
        <v>612</v>
      </c>
      <c r="H27" s="11" t="n">
        <v>9208805</v>
      </c>
      <c r="I27" s="11" t="n">
        <v>774618</v>
      </c>
      <c r="J27" s="11" t="n">
        <v>1244</v>
      </c>
      <c r="K27" s="11" t="s">
        <v>22</v>
      </c>
      <c r="L27" s="11" t="s">
        <v>153</v>
      </c>
      <c r="M27" s="24" t="n">
        <v>45728</v>
      </c>
      <c r="N27" s="25" t="n">
        <f aca="false">INT((M27-D27)/365.25)</f>
        <v>21</v>
      </c>
      <c r="O27" s="12" t="s">
        <v>30</v>
      </c>
      <c r="P27" s="12" t="s">
        <v>22</v>
      </c>
    </row>
    <row r="28" customFormat="false" ht="15" hidden="false" customHeight="false" outlineLevel="0" collapsed="false">
      <c r="A28" s="23" t="n">
        <v>24</v>
      </c>
      <c r="B28" s="10" t="n">
        <v>867749</v>
      </c>
      <c r="C28" s="34" t="s">
        <v>613</v>
      </c>
      <c r="D28" s="12" t="n">
        <v>33880</v>
      </c>
      <c r="E28" s="11" t="s">
        <v>427</v>
      </c>
      <c r="F28" s="11" t="s">
        <v>165</v>
      </c>
      <c r="G28" s="11" t="s">
        <v>614</v>
      </c>
      <c r="H28" s="11" t="n">
        <v>5834903</v>
      </c>
      <c r="I28" s="11" t="n">
        <v>2380774</v>
      </c>
      <c r="J28" s="11" t="n">
        <v>2859</v>
      </c>
      <c r="K28" s="11" t="s">
        <v>22</v>
      </c>
      <c r="L28" s="11" t="s">
        <v>153</v>
      </c>
      <c r="M28" s="24" t="n">
        <v>45728</v>
      </c>
      <c r="N28" s="25" t="n">
        <f aca="false">INT((M28-D28)/365.25)</f>
        <v>32</v>
      </c>
      <c r="O28" s="12" t="s">
        <v>30</v>
      </c>
      <c r="P28" s="12" t="s">
        <v>22</v>
      </c>
    </row>
    <row r="29" customFormat="false" ht="15" hidden="false" customHeight="false" outlineLevel="0" collapsed="false">
      <c r="A29" s="23" t="n">
        <v>25</v>
      </c>
      <c r="B29" s="10" t="n">
        <v>858023</v>
      </c>
      <c r="C29" s="11" t="s">
        <v>615</v>
      </c>
      <c r="D29" s="12" t="n">
        <v>36550</v>
      </c>
      <c r="E29" s="11" t="s">
        <v>427</v>
      </c>
      <c r="F29" s="11" t="s">
        <v>165</v>
      </c>
      <c r="G29" s="11" t="s">
        <v>616</v>
      </c>
      <c r="H29" s="11" t="n">
        <v>9142749</v>
      </c>
      <c r="I29" s="11" t="n">
        <v>7072666</v>
      </c>
      <c r="J29" s="11" t="n">
        <v>8265</v>
      </c>
      <c r="K29" s="11" t="s">
        <v>22</v>
      </c>
      <c r="L29" s="11" t="s">
        <v>153</v>
      </c>
      <c r="M29" s="24" t="n">
        <v>45728</v>
      </c>
      <c r="N29" s="25" t="n">
        <f aca="false">INT((M29-D29)/365.25)</f>
        <v>25</v>
      </c>
      <c r="O29" s="12" t="s">
        <v>30</v>
      </c>
      <c r="P29" s="12" t="s">
        <v>22</v>
      </c>
    </row>
    <row r="30" customFormat="false" ht="15" hidden="false" customHeight="false" outlineLevel="0" collapsed="false">
      <c r="A30" s="23" t="n">
        <v>26</v>
      </c>
      <c r="B30" s="10" t="n">
        <v>866688</v>
      </c>
      <c r="C30" s="34" t="s">
        <v>617</v>
      </c>
      <c r="D30" s="12" t="n">
        <v>38588</v>
      </c>
      <c r="E30" s="11" t="s">
        <v>427</v>
      </c>
      <c r="F30" s="11" t="s">
        <v>165</v>
      </c>
      <c r="G30" s="11" t="s">
        <v>618</v>
      </c>
      <c r="H30" s="11" t="s">
        <v>619</v>
      </c>
      <c r="I30" s="11" t="n">
        <v>890056</v>
      </c>
      <c r="J30" s="11" t="n">
        <v>9279</v>
      </c>
      <c r="K30" s="11" t="s">
        <v>22</v>
      </c>
      <c r="L30" s="11" t="s">
        <v>153</v>
      </c>
      <c r="M30" s="24" t="n">
        <v>45728</v>
      </c>
      <c r="N30" s="25" t="n">
        <f aca="false">INT((M30-D30)/365.25)</f>
        <v>19</v>
      </c>
      <c r="O30" s="12" t="s">
        <v>30</v>
      </c>
      <c r="P30" s="12" t="s">
        <v>22</v>
      </c>
    </row>
    <row r="31" customFormat="false" ht="15" hidden="false" customHeight="false" outlineLevel="0" collapsed="false">
      <c r="A31" s="23" t="n">
        <v>27</v>
      </c>
      <c r="B31" s="10" t="n">
        <v>866690</v>
      </c>
      <c r="C31" s="11" t="s">
        <v>620</v>
      </c>
      <c r="D31" s="12" t="n">
        <v>35936</v>
      </c>
      <c r="E31" s="11" t="s">
        <v>427</v>
      </c>
      <c r="F31" s="11" t="s">
        <v>165</v>
      </c>
      <c r="G31" s="11" t="s">
        <v>621</v>
      </c>
      <c r="H31" s="11" t="n">
        <v>8191208</v>
      </c>
      <c r="I31" s="11" t="n">
        <v>7116650</v>
      </c>
      <c r="J31" s="11" t="n">
        <v>9206</v>
      </c>
      <c r="K31" s="11" t="s">
        <v>22</v>
      </c>
      <c r="L31" s="11" t="s">
        <v>153</v>
      </c>
      <c r="M31" s="24" t="n">
        <v>45728</v>
      </c>
      <c r="N31" s="25" t="n">
        <f aca="false">INT((M31-D31)/365.25)</f>
        <v>26</v>
      </c>
      <c r="O31" s="12" t="s">
        <v>30</v>
      </c>
      <c r="P31" s="12" t="s">
        <v>22</v>
      </c>
    </row>
    <row r="32" customFormat="false" ht="15" hidden="false" customHeight="false" outlineLevel="0" collapsed="false">
      <c r="A32" s="23" t="n">
        <v>28</v>
      </c>
      <c r="B32" s="10" t="n">
        <v>858026</v>
      </c>
      <c r="C32" s="11" t="s">
        <v>622</v>
      </c>
      <c r="D32" s="12" t="n">
        <v>36755</v>
      </c>
      <c r="E32" s="11" t="s">
        <v>427</v>
      </c>
      <c r="F32" s="11" t="s">
        <v>165</v>
      </c>
      <c r="G32" s="11" t="s">
        <v>623</v>
      </c>
      <c r="H32" s="11" t="n">
        <v>8592192</v>
      </c>
      <c r="I32" s="11" t="n">
        <v>7104772</v>
      </c>
      <c r="J32" s="11" t="n">
        <v>1201</v>
      </c>
      <c r="K32" s="11" t="s">
        <v>22</v>
      </c>
      <c r="L32" s="11" t="s">
        <v>153</v>
      </c>
      <c r="M32" s="24" t="n">
        <v>45728</v>
      </c>
      <c r="N32" s="25" t="n">
        <f aca="false">INT((M32-D32)/365.25)</f>
        <v>24</v>
      </c>
      <c r="O32" s="12" t="s">
        <v>30</v>
      </c>
      <c r="P32" s="12" t="s">
        <v>22</v>
      </c>
    </row>
    <row r="33" customFormat="false" ht="15" hidden="false" customHeight="false" outlineLevel="0" collapsed="false">
      <c r="A33" s="23" t="n">
        <v>29</v>
      </c>
      <c r="B33" s="10" t="n">
        <v>866924</v>
      </c>
      <c r="C33" s="11" t="s">
        <v>624</v>
      </c>
      <c r="D33" s="12" t="n">
        <v>37392</v>
      </c>
      <c r="E33" s="11" t="s">
        <v>427</v>
      </c>
      <c r="F33" s="11" t="s">
        <v>165</v>
      </c>
      <c r="G33" s="11" t="s">
        <v>625</v>
      </c>
      <c r="H33" s="11" t="n">
        <v>8639361</v>
      </c>
      <c r="I33" s="11" t="n">
        <v>531775</v>
      </c>
      <c r="J33" s="11" t="n">
        <v>1276</v>
      </c>
      <c r="K33" s="11" t="s">
        <v>22</v>
      </c>
      <c r="L33" s="11" t="s">
        <v>153</v>
      </c>
      <c r="M33" s="24" t="n">
        <v>45728</v>
      </c>
      <c r="N33" s="25" t="n">
        <f aca="false">INT((M33-D33)/365.25)</f>
        <v>22</v>
      </c>
      <c r="O33" s="12" t="s">
        <v>30</v>
      </c>
      <c r="P33" s="12" t="s">
        <v>22</v>
      </c>
    </row>
    <row r="34" customFormat="false" ht="15" hidden="false" customHeight="false" outlineLevel="0" collapsed="false">
      <c r="A34" s="23" t="n">
        <v>30</v>
      </c>
      <c r="B34" s="10" t="n">
        <v>866693</v>
      </c>
      <c r="C34" s="11" t="s">
        <v>626</v>
      </c>
      <c r="D34" s="12" t="n">
        <v>28889</v>
      </c>
      <c r="E34" s="11" t="s">
        <v>427</v>
      </c>
      <c r="F34" s="11" t="s">
        <v>165</v>
      </c>
      <c r="G34" s="11" t="s">
        <v>627</v>
      </c>
      <c r="H34" s="11" t="n">
        <v>4822318</v>
      </c>
      <c r="I34" s="11" t="n">
        <v>50872</v>
      </c>
      <c r="J34" s="11" t="n">
        <v>21</v>
      </c>
      <c r="K34" s="11" t="s">
        <v>22</v>
      </c>
      <c r="L34" s="11" t="s">
        <v>153</v>
      </c>
      <c r="M34" s="24" t="n">
        <v>45728</v>
      </c>
      <c r="N34" s="25" t="n">
        <f aca="false">INT((M34-D34)/365.25)</f>
        <v>46</v>
      </c>
      <c r="O34" s="12" t="s">
        <v>30</v>
      </c>
      <c r="P34" s="12" t="s">
        <v>22</v>
      </c>
    </row>
    <row r="35" customFormat="false" ht="15" hidden="false" customHeight="false" outlineLevel="0" collapsed="false">
      <c r="A35" s="23" t="n">
        <v>31</v>
      </c>
      <c r="B35" s="10" t="n">
        <v>860430</v>
      </c>
      <c r="C35" s="11" t="s">
        <v>628</v>
      </c>
      <c r="D35" s="12" t="n">
        <v>31437</v>
      </c>
      <c r="E35" s="11" t="s">
        <v>427</v>
      </c>
      <c r="F35" s="11" t="s">
        <v>165</v>
      </c>
      <c r="G35" s="11" t="s">
        <v>629</v>
      </c>
      <c r="H35" s="11" t="n">
        <v>4774066</v>
      </c>
      <c r="I35" s="11" t="n">
        <v>42605</v>
      </c>
      <c r="J35" s="11" t="n">
        <v>40</v>
      </c>
      <c r="K35" s="11" t="s">
        <v>22</v>
      </c>
      <c r="L35" s="11" t="s">
        <v>153</v>
      </c>
      <c r="M35" s="24" t="n">
        <v>45728</v>
      </c>
      <c r="N35" s="25" t="n">
        <f aca="false">INT((M35-D35)/365.25)</f>
        <v>39</v>
      </c>
      <c r="O35" s="12" t="s">
        <v>30</v>
      </c>
      <c r="P35" s="12" t="s">
        <v>22</v>
      </c>
    </row>
    <row r="36" customFormat="false" ht="15" hidden="false" customHeight="false" outlineLevel="0" collapsed="false">
      <c r="A36" s="23" t="n">
        <v>32</v>
      </c>
      <c r="B36" s="10" t="n">
        <v>866926</v>
      </c>
      <c r="C36" s="11" t="s">
        <v>630</v>
      </c>
      <c r="D36" s="12" t="n">
        <v>37745</v>
      </c>
      <c r="E36" s="11" t="s">
        <v>427</v>
      </c>
      <c r="F36" s="11" t="s">
        <v>165</v>
      </c>
      <c r="G36" s="11" t="s">
        <v>631</v>
      </c>
      <c r="H36" s="11" t="n">
        <v>10112921</v>
      </c>
      <c r="I36" s="11" t="n">
        <v>7121093</v>
      </c>
      <c r="J36" s="11" t="n">
        <v>4213</v>
      </c>
      <c r="K36" s="11" t="s">
        <v>22</v>
      </c>
      <c r="L36" s="11" t="s">
        <v>153</v>
      </c>
      <c r="M36" s="24" t="n">
        <v>45728</v>
      </c>
      <c r="N36" s="25" t="n">
        <f aca="false">INT((M36-D36)/365.25)</f>
        <v>21</v>
      </c>
      <c r="O36" s="12" t="s">
        <v>30</v>
      </c>
      <c r="P36" s="12" t="s">
        <v>22</v>
      </c>
    </row>
    <row r="37" customFormat="false" ht="15" hidden="false" customHeight="false" outlineLevel="0" collapsed="false">
      <c r="A37" s="23" t="n">
        <v>33</v>
      </c>
      <c r="B37" s="10" t="n">
        <v>866695</v>
      </c>
      <c r="C37" s="11" t="s">
        <v>632</v>
      </c>
      <c r="D37" s="12" t="n">
        <v>38745</v>
      </c>
      <c r="E37" s="11" t="s">
        <v>427</v>
      </c>
      <c r="F37" s="11" t="s">
        <v>165</v>
      </c>
      <c r="G37" s="11" t="s">
        <v>633</v>
      </c>
      <c r="H37" s="11" t="n">
        <v>10682826</v>
      </c>
      <c r="I37" s="11" t="n">
        <v>1101213</v>
      </c>
      <c r="J37" s="11" t="n">
        <v>5233</v>
      </c>
      <c r="K37" s="11" t="s">
        <v>22</v>
      </c>
      <c r="L37" s="11" t="s">
        <v>153</v>
      </c>
      <c r="M37" s="24" t="n">
        <v>45728</v>
      </c>
      <c r="N37" s="25" t="n">
        <f aca="false">INT((M37-D37)/365.25)</f>
        <v>19</v>
      </c>
      <c r="O37" s="12" t="s">
        <v>30</v>
      </c>
      <c r="P37" s="12" t="s">
        <v>22</v>
      </c>
    </row>
    <row r="38" customFormat="false" ht="15" hidden="false" customHeight="false" outlineLevel="0" collapsed="false">
      <c r="A38" s="23" t="n">
        <v>34</v>
      </c>
      <c r="B38" s="10" t="n">
        <v>867763</v>
      </c>
      <c r="C38" s="34" t="s">
        <v>634</v>
      </c>
      <c r="D38" s="12" t="n">
        <v>38808</v>
      </c>
      <c r="E38" s="11" t="s">
        <v>427</v>
      </c>
      <c r="F38" s="11" t="s">
        <v>165</v>
      </c>
      <c r="G38" s="11" t="s">
        <v>635</v>
      </c>
      <c r="H38" s="11" t="n">
        <v>10410327</v>
      </c>
      <c r="I38" s="11" t="n">
        <v>950743</v>
      </c>
      <c r="J38" s="11" t="n">
        <v>202</v>
      </c>
      <c r="K38" s="11" t="s">
        <v>22</v>
      </c>
      <c r="L38" s="11" t="s">
        <v>153</v>
      </c>
      <c r="M38" s="24" t="n">
        <v>45728</v>
      </c>
      <c r="N38" s="25" t="n">
        <f aca="false">INT((M38-D38)/365.25)</f>
        <v>18</v>
      </c>
      <c r="O38" s="12" t="s">
        <v>30</v>
      </c>
      <c r="P38" s="12" t="s">
        <v>22</v>
      </c>
    </row>
    <row r="39" customFormat="false" ht="15" hidden="false" customHeight="false" outlineLevel="0" collapsed="false">
      <c r="A39" s="23" t="n">
        <v>35</v>
      </c>
      <c r="B39" s="10" t="n">
        <v>866696</v>
      </c>
      <c r="C39" s="11" t="s">
        <v>636</v>
      </c>
      <c r="D39" s="12" t="n">
        <v>33983</v>
      </c>
      <c r="E39" s="11" t="s">
        <v>427</v>
      </c>
      <c r="F39" s="11" t="s">
        <v>165</v>
      </c>
      <c r="G39" s="11" t="s">
        <v>637</v>
      </c>
      <c r="H39" s="11" t="n">
        <v>7805930</v>
      </c>
      <c r="I39" s="11" t="n">
        <v>925897</v>
      </c>
      <c r="J39" s="11" t="n">
        <v>4263</v>
      </c>
      <c r="K39" s="11" t="s">
        <v>22</v>
      </c>
      <c r="L39" s="11" t="s">
        <v>153</v>
      </c>
      <c r="M39" s="24" t="n">
        <v>45728</v>
      </c>
      <c r="N39" s="25" t="n">
        <f aca="false">INT((M39-D39)/365.25)</f>
        <v>32</v>
      </c>
      <c r="O39" s="12" t="s">
        <v>30</v>
      </c>
      <c r="P39" s="12" t="s">
        <v>22</v>
      </c>
    </row>
    <row r="40" customFormat="false" ht="15" hidden="false" customHeight="false" outlineLevel="0" collapsed="false">
      <c r="A40" s="23" t="n">
        <v>36</v>
      </c>
      <c r="B40" s="10" t="n">
        <v>860426</v>
      </c>
      <c r="C40" s="11" t="s">
        <v>638</v>
      </c>
      <c r="D40" s="12" t="n">
        <v>35773</v>
      </c>
      <c r="E40" s="11" t="s">
        <v>427</v>
      </c>
      <c r="F40" s="11" t="s">
        <v>165</v>
      </c>
      <c r="G40" s="11" t="s">
        <v>639</v>
      </c>
      <c r="H40" s="11" t="n">
        <v>7863113</v>
      </c>
      <c r="I40" s="11" t="n">
        <v>80022</v>
      </c>
      <c r="J40" s="11" t="n">
        <v>77</v>
      </c>
      <c r="K40" s="11" t="s">
        <v>22</v>
      </c>
      <c r="L40" s="11" t="s">
        <v>153</v>
      </c>
      <c r="M40" s="24" t="n">
        <v>45728</v>
      </c>
      <c r="N40" s="25" t="n">
        <f aca="false">INT((M40-D40)/365.25)</f>
        <v>27</v>
      </c>
      <c r="O40" s="12" t="s">
        <v>30</v>
      </c>
      <c r="P40" s="12" t="s">
        <v>22</v>
      </c>
    </row>
  </sheetData>
  <mergeCells count="1">
    <mergeCell ref="A1:P2"/>
  </mergeCells>
  <conditionalFormatting sqref="N5:N40">
    <cfRule type="colorScale" priority="2">
      <colorScale>
        <cfvo type="num" val="17"/>
        <cfvo type="num" val="18"/>
        <color rgb="FFFF0000"/>
        <color rgb="FF92D050"/>
      </colorScale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5.86"/>
    <col collapsed="false" customWidth="true" hidden="false" outlineLevel="0" max="3" min="3" style="0" width="33.43"/>
    <col collapsed="false" customWidth="true" hidden="false" outlineLevel="0" max="5" min="5" style="0" width="20.72"/>
    <col collapsed="false" customWidth="true" hidden="false" outlineLevel="0" max="6" min="6" style="0" width="6.43"/>
    <col collapsed="false" customWidth="true" hidden="false" outlineLevel="0" max="7" min="7" style="0" width="11.86"/>
    <col collapsed="false" customWidth="true" hidden="false" outlineLevel="0" max="8" min="8" style="0" width="12.14"/>
    <col collapsed="false" customWidth="true" hidden="false" outlineLevel="0" max="9" min="9" style="0" width="6.86"/>
    <col collapsed="false" customWidth="true" hidden="false" outlineLevel="0" max="10" min="10" style="0" width="4.72"/>
    <col collapsed="false" customWidth="true" hidden="false" outlineLevel="0" max="11" min="11" style="0" width="5.29"/>
    <col collapsed="false" customWidth="true" hidden="false" outlineLevel="0" max="12" min="12" style="0" width="17"/>
    <col collapsed="false" customWidth="true" hidden="false" outlineLevel="0" max="13" min="13" style="0" width="9.14"/>
    <col collapsed="false" customWidth="true" hidden="false" outlineLevel="0" max="14" min="14" style="0" width="5.14"/>
    <col collapsed="false" customWidth="true" hidden="false" outlineLevel="0" max="15" min="15" style="0" width="5.86"/>
  </cols>
  <sheetData>
    <row r="1" customFormat="false" ht="15" hidden="false" customHeight="false" outlineLevel="0" collapsed="false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customFormat="false" ht="15" hidden="false" customHeight="false" outlineLevel="0" collapsed="false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customFormat="false" ht="15" hidden="false" customHeight="false" outlineLevel="0" collapsed="false">
      <c r="A3" s="19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20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16</v>
      </c>
    </row>
    <row r="4" customFormat="false" ht="15" hidden="false" customHeight="false" outlineLevel="0" collapsed="false">
      <c r="A4" s="21"/>
      <c r="B4" s="2"/>
      <c r="C4" s="6" t="s">
        <v>640</v>
      </c>
      <c r="D4" s="7"/>
      <c r="E4" s="2"/>
      <c r="F4" s="2"/>
      <c r="G4" s="2"/>
      <c r="H4" s="2"/>
      <c r="I4" s="2"/>
      <c r="J4" s="2"/>
      <c r="K4" s="2"/>
      <c r="L4" s="8"/>
      <c r="M4" s="22"/>
      <c r="N4" s="6"/>
      <c r="O4" s="6"/>
    </row>
    <row r="5" customFormat="false" ht="15" hidden="false" customHeight="false" outlineLevel="0" collapsed="false">
      <c r="A5" s="23" t="n">
        <v>1</v>
      </c>
      <c r="B5" s="10" t="n">
        <v>866844</v>
      </c>
      <c r="C5" s="11" t="s">
        <v>641</v>
      </c>
      <c r="D5" s="12" t="n">
        <v>37649</v>
      </c>
      <c r="E5" s="11" t="s">
        <v>642</v>
      </c>
      <c r="F5" s="11" t="s">
        <v>19</v>
      </c>
      <c r="G5" s="11" t="s">
        <v>643</v>
      </c>
      <c r="H5" s="11" t="s">
        <v>644</v>
      </c>
      <c r="I5" s="11" t="n">
        <v>995964</v>
      </c>
      <c r="J5" s="11" t="n">
        <v>6378</v>
      </c>
      <c r="K5" s="11" t="s">
        <v>22</v>
      </c>
      <c r="L5" s="11" t="s">
        <v>153</v>
      </c>
      <c r="M5" s="24" t="n">
        <v>45728</v>
      </c>
      <c r="N5" s="25" t="n">
        <f aca="false">INT((M5-D5)/365.25)</f>
        <v>22</v>
      </c>
      <c r="O5" s="12" t="s">
        <v>22</v>
      </c>
    </row>
    <row r="6" customFormat="false" ht="15" hidden="false" customHeight="false" outlineLevel="0" collapsed="false">
      <c r="A6" s="23" t="n">
        <v>2</v>
      </c>
      <c r="B6" s="10" t="n">
        <v>839770</v>
      </c>
      <c r="C6" s="11" t="s">
        <v>645</v>
      </c>
      <c r="D6" s="12" t="n">
        <v>27947</v>
      </c>
      <c r="E6" s="11" t="s">
        <v>642</v>
      </c>
      <c r="F6" s="11" t="s">
        <v>19</v>
      </c>
      <c r="G6" s="11" t="s">
        <v>646</v>
      </c>
      <c r="H6" s="11" t="s">
        <v>647</v>
      </c>
      <c r="I6" s="11" t="n">
        <v>206379</v>
      </c>
      <c r="J6" s="11" t="n">
        <v>8309</v>
      </c>
      <c r="K6" s="11" t="s">
        <v>22</v>
      </c>
      <c r="L6" s="11" t="s">
        <v>153</v>
      </c>
      <c r="M6" s="24" t="n">
        <v>45728</v>
      </c>
      <c r="N6" s="25" t="n">
        <f aca="false">INT((M6-D6)/365.25)</f>
        <v>48</v>
      </c>
      <c r="O6" s="12" t="s">
        <v>22</v>
      </c>
    </row>
    <row r="7" customFormat="false" ht="15" hidden="false" customHeight="false" outlineLevel="0" collapsed="false">
      <c r="A7" s="23" t="n">
        <v>3</v>
      </c>
      <c r="B7" s="11" t="n">
        <v>867587</v>
      </c>
      <c r="C7" s="11" t="s">
        <v>648</v>
      </c>
      <c r="D7" s="12" t="n">
        <v>39048</v>
      </c>
      <c r="E7" s="11" t="s">
        <v>649</v>
      </c>
      <c r="F7" s="11" t="s">
        <v>19</v>
      </c>
      <c r="G7" s="11" t="s">
        <v>650</v>
      </c>
      <c r="H7" s="11" t="s">
        <v>651</v>
      </c>
      <c r="I7" s="11" t="n">
        <v>1054300</v>
      </c>
      <c r="J7" s="11" t="n">
        <v>3302</v>
      </c>
      <c r="K7" s="11" t="s">
        <v>22</v>
      </c>
      <c r="L7" s="11" t="s">
        <v>153</v>
      </c>
      <c r="M7" s="24" t="n">
        <v>45728</v>
      </c>
      <c r="N7" s="25" t="n">
        <f aca="false">INT((M7-D7)/365.25)</f>
        <v>18</v>
      </c>
      <c r="O7" s="12" t="s">
        <v>22</v>
      </c>
    </row>
    <row r="8" customFormat="false" ht="15" hidden="false" customHeight="false" outlineLevel="0" collapsed="false">
      <c r="A8" s="23" t="n">
        <v>4</v>
      </c>
      <c r="B8" s="10" t="n">
        <v>867011</v>
      </c>
      <c r="C8" s="11" t="s">
        <v>652</v>
      </c>
      <c r="D8" s="12" t="n">
        <v>35823</v>
      </c>
      <c r="E8" s="11" t="s">
        <v>653</v>
      </c>
      <c r="F8" s="11" t="s">
        <v>19</v>
      </c>
      <c r="G8" s="11" t="s">
        <v>654</v>
      </c>
      <c r="H8" s="11" t="s">
        <v>655</v>
      </c>
      <c r="I8" s="11" t="n">
        <v>750144</v>
      </c>
      <c r="J8" s="11" t="n">
        <v>4323</v>
      </c>
      <c r="K8" s="11" t="s">
        <v>22</v>
      </c>
      <c r="L8" s="11" t="s">
        <v>153</v>
      </c>
      <c r="M8" s="24" t="n">
        <v>45728</v>
      </c>
      <c r="N8" s="25" t="n">
        <f aca="false">INT((M8-D8)/365.25)</f>
        <v>27</v>
      </c>
      <c r="O8" s="12" t="s">
        <v>22</v>
      </c>
    </row>
    <row r="9" customFormat="false" ht="15" hidden="false" customHeight="false" outlineLevel="0" collapsed="false">
      <c r="A9" s="23" t="n">
        <v>5</v>
      </c>
      <c r="B9" s="10" t="n">
        <v>855573</v>
      </c>
      <c r="C9" s="11" t="s">
        <v>656</v>
      </c>
      <c r="D9" s="12" t="n">
        <v>36241</v>
      </c>
      <c r="E9" s="11" t="s">
        <v>642</v>
      </c>
      <c r="F9" s="11" t="s">
        <v>19</v>
      </c>
      <c r="G9" s="11" t="s">
        <v>657</v>
      </c>
      <c r="H9" s="11" t="s">
        <v>658</v>
      </c>
      <c r="I9" s="11" t="n">
        <v>781163</v>
      </c>
      <c r="J9" s="11" t="n">
        <v>5364</v>
      </c>
      <c r="K9" s="11" t="s">
        <v>22</v>
      </c>
      <c r="L9" s="11" t="s">
        <v>153</v>
      </c>
      <c r="M9" s="24" t="n">
        <v>45728</v>
      </c>
      <c r="N9" s="25" t="n">
        <f aca="false">INT((M9-D9)/365.25)</f>
        <v>25</v>
      </c>
      <c r="O9" s="12" t="s">
        <v>22</v>
      </c>
    </row>
    <row r="10" customFormat="false" ht="15" hidden="false" customHeight="false" outlineLevel="0" collapsed="false">
      <c r="A10" s="23" t="n">
        <v>6</v>
      </c>
      <c r="B10" s="11" t="n">
        <v>867635</v>
      </c>
      <c r="C10" s="11" t="s">
        <v>659</v>
      </c>
      <c r="D10" s="12" t="n">
        <v>36047</v>
      </c>
      <c r="E10" s="11" t="s">
        <v>649</v>
      </c>
      <c r="F10" s="11" t="s">
        <v>19</v>
      </c>
      <c r="G10" s="11" t="s">
        <v>660</v>
      </c>
      <c r="H10" s="11" t="s">
        <v>661</v>
      </c>
      <c r="I10" s="11" t="n">
        <v>965283</v>
      </c>
      <c r="J10" s="11" t="n">
        <v>7393</v>
      </c>
      <c r="K10" s="11" t="s">
        <v>22</v>
      </c>
      <c r="L10" s="11" t="s">
        <v>153</v>
      </c>
      <c r="M10" s="24" t="n">
        <v>45728</v>
      </c>
      <c r="N10" s="25" t="n">
        <f aca="false">INT((M10-D10)/365.25)</f>
        <v>26</v>
      </c>
      <c r="O10" s="12" t="s">
        <v>22</v>
      </c>
    </row>
    <row r="11" customFormat="false" ht="15" hidden="false" customHeight="false" outlineLevel="0" collapsed="false">
      <c r="A11" s="23" t="n">
        <v>7</v>
      </c>
      <c r="B11" s="11" t="n">
        <v>867632</v>
      </c>
      <c r="C11" s="11" t="s">
        <v>662</v>
      </c>
      <c r="D11" s="12" t="n">
        <v>32570</v>
      </c>
      <c r="E11" s="11" t="s">
        <v>649</v>
      </c>
      <c r="F11" s="11" t="s">
        <v>19</v>
      </c>
      <c r="G11" s="11" t="s">
        <v>663</v>
      </c>
      <c r="H11" s="11" t="s">
        <v>664</v>
      </c>
      <c r="I11" s="11" t="n">
        <v>6243891</v>
      </c>
      <c r="J11" s="11" t="n">
        <v>5340</v>
      </c>
      <c r="K11" s="11" t="s">
        <v>22</v>
      </c>
      <c r="L11" s="11" t="s">
        <v>153</v>
      </c>
      <c r="M11" s="24" t="n">
        <v>45728</v>
      </c>
      <c r="N11" s="25" t="n">
        <f aca="false">INT((M11-D11)/365.25)</f>
        <v>36</v>
      </c>
      <c r="O11" s="12" t="s">
        <v>22</v>
      </c>
    </row>
    <row r="12" customFormat="false" ht="15" hidden="false" customHeight="false" outlineLevel="0" collapsed="false">
      <c r="A12" s="23" t="n">
        <v>8</v>
      </c>
      <c r="B12" s="10" t="n">
        <v>855895</v>
      </c>
      <c r="C12" s="11" t="s">
        <v>665</v>
      </c>
      <c r="D12" s="12" t="n">
        <v>36829</v>
      </c>
      <c r="E12" s="11" t="s">
        <v>538</v>
      </c>
      <c r="F12" s="11" t="s">
        <v>19</v>
      </c>
      <c r="G12" s="11" t="s">
        <v>666</v>
      </c>
      <c r="H12" s="11" t="s">
        <v>667</v>
      </c>
      <c r="I12" s="11" t="n">
        <v>775171</v>
      </c>
      <c r="J12" s="11" t="n">
        <v>8323</v>
      </c>
      <c r="K12" s="11" t="s">
        <v>22</v>
      </c>
      <c r="L12" s="11" t="s">
        <v>153</v>
      </c>
      <c r="M12" s="24" t="n">
        <v>45728</v>
      </c>
      <c r="N12" s="25" t="n">
        <f aca="false">INT((M12-D12)/365.25)</f>
        <v>24</v>
      </c>
      <c r="O12" s="12" t="s">
        <v>22</v>
      </c>
    </row>
    <row r="13" customFormat="false" ht="15" hidden="false" customHeight="false" outlineLevel="0" collapsed="false">
      <c r="A13" s="23" t="n">
        <v>9</v>
      </c>
      <c r="B13" s="10" t="n">
        <v>867007</v>
      </c>
      <c r="C13" s="11" t="s">
        <v>668</v>
      </c>
      <c r="D13" s="12" t="n">
        <v>37609</v>
      </c>
      <c r="E13" s="11" t="s">
        <v>653</v>
      </c>
      <c r="F13" s="11" t="s">
        <v>19</v>
      </c>
      <c r="G13" s="11" t="s">
        <v>669</v>
      </c>
      <c r="H13" s="11" t="s">
        <v>670</v>
      </c>
      <c r="I13" s="11" t="n">
        <v>758603</v>
      </c>
      <c r="J13" s="11" t="n">
        <v>8350</v>
      </c>
      <c r="K13" s="11" t="s">
        <v>22</v>
      </c>
      <c r="L13" s="11" t="s">
        <v>153</v>
      </c>
      <c r="M13" s="24" t="n">
        <v>45728</v>
      </c>
      <c r="N13" s="25" t="n">
        <f aca="false">INT((M13-D13)/365.25)</f>
        <v>22</v>
      </c>
      <c r="O13" s="12" t="s">
        <v>22</v>
      </c>
    </row>
    <row r="14" customFormat="false" ht="15" hidden="false" customHeight="false" outlineLevel="0" collapsed="false">
      <c r="A14" s="23" t="n">
        <v>10</v>
      </c>
      <c r="B14" s="11" t="n">
        <v>867461</v>
      </c>
      <c r="C14" s="11" t="s">
        <v>671</v>
      </c>
      <c r="D14" s="12" t="n">
        <v>37400</v>
      </c>
      <c r="E14" s="11" t="s">
        <v>653</v>
      </c>
      <c r="F14" s="11" t="s">
        <v>19</v>
      </c>
      <c r="G14" s="11" t="s">
        <v>672</v>
      </c>
      <c r="H14" s="11" t="s">
        <v>673</v>
      </c>
      <c r="I14" s="11" t="n">
        <v>6046673</v>
      </c>
      <c r="J14" s="11" t="n">
        <v>6312</v>
      </c>
      <c r="K14" s="11" t="s">
        <v>22</v>
      </c>
      <c r="L14" s="11" t="s">
        <v>153</v>
      </c>
      <c r="M14" s="24" t="n">
        <v>45728</v>
      </c>
      <c r="N14" s="25" t="n">
        <f aca="false">INT((M14-D14)/365.25)</f>
        <v>22</v>
      </c>
      <c r="O14" s="12" t="s">
        <v>22</v>
      </c>
    </row>
    <row r="15" customFormat="false" ht="15" hidden="false" customHeight="false" outlineLevel="0" collapsed="false">
      <c r="A15" s="23" t="n">
        <v>11</v>
      </c>
      <c r="B15" s="11" t="n">
        <v>867463</v>
      </c>
      <c r="C15" s="11" t="s">
        <v>674</v>
      </c>
      <c r="D15" s="12" t="n">
        <v>34693</v>
      </c>
      <c r="E15" s="11" t="s">
        <v>649</v>
      </c>
      <c r="F15" s="11" t="s">
        <v>19</v>
      </c>
      <c r="G15" s="11" t="s">
        <v>675</v>
      </c>
      <c r="H15" s="11" t="n">
        <v>7131025</v>
      </c>
      <c r="I15" s="11" t="n">
        <v>552692</v>
      </c>
      <c r="J15" s="11" t="n">
        <v>348</v>
      </c>
      <c r="K15" s="11" t="s">
        <v>22</v>
      </c>
      <c r="L15" s="11" t="s">
        <v>153</v>
      </c>
      <c r="M15" s="24" t="n">
        <v>45728</v>
      </c>
      <c r="N15" s="25" t="n">
        <f aca="false">INT((M15-D15)/365.25)</f>
        <v>30</v>
      </c>
      <c r="O15" s="12" t="s">
        <v>22</v>
      </c>
    </row>
    <row r="16" customFormat="false" ht="15" hidden="false" customHeight="false" outlineLevel="0" collapsed="false">
      <c r="A16" s="23" t="n">
        <v>12</v>
      </c>
      <c r="B16" s="10" t="n">
        <v>664620</v>
      </c>
      <c r="C16" s="11" t="s">
        <v>676</v>
      </c>
      <c r="D16" s="12" t="n">
        <v>34626</v>
      </c>
      <c r="E16" s="11" t="s">
        <v>538</v>
      </c>
      <c r="F16" s="11" t="s">
        <v>19</v>
      </c>
      <c r="G16" s="11" t="s">
        <v>677</v>
      </c>
      <c r="H16" s="11" t="s">
        <v>678</v>
      </c>
      <c r="I16" s="11" t="n">
        <v>3066736</v>
      </c>
      <c r="J16" s="11" t="n">
        <v>40</v>
      </c>
      <c r="K16" s="11" t="s">
        <v>22</v>
      </c>
      <c r="L16" s="11" t="s">
        <v>153</v>
      </c>
      <c r="M16" s="24" t="n">
        <v>45728</v>
      </c>
      <c r="N16" s="25" t="n">
        <f aca="false">INT((M16-D16)/365.25)</f>
        <v>30</v>
      </c>
      <c r="O16" s="12" t="s">
        <v>22</v>
      </c>
    </row>
    <row r="17" customFormat="false" ht="15" hidden="false" customHeight="false" outlineLevel="0" collapsed="false">
      <c r="A17" s="23" t="n">
        <v>13</v>
      </c>
      <c r="B17" s="10" t="n">
        <v>867008</v>
      </c>
      <c r="C17" s="11" t="s">
        <v>679</v>
      </c>
      <c r="D17" s="12" t="n">
        <v>38223</v>
      </c>
      <c r="E17" s="11" t="s">
        <v>653</v>
      </c>
      <c r="F17" s="11" t="s">
        <v>19</v>
      </c>
      <c r="G17" s="11" t="s">
        <v>680</v>
      </c>
      <c r="H17" s="11" t="s">
        <v>681</v>
      </c>
      <c r="I17" s="11" t="n">
        <v>1073379</v>
      </c>
      <c r="J17" s="11" t="n">
        <v>4343</v>
      </c>
      <c r="K17" s="11" t="s">
        <v>22</v>
      </c>
      <c r="L17" s="11" t="s">
        <v>153</v>
      </c>
      <c r="M17" s="24" t="n">
        <v>45728</v>
      </c>
      <c r="N17" s="25" t="n">
        <f aca="false">INT((M17-D17)/365.25)</f>
        <v>20</v>
      </c>
      <c r="O17" s="12" t="s">
        <v>22</v>
      </c>
    </row>
    <row r="18" customFormat="false" ht="15" hidden="false" customHeight="false" outlineLevel="0" collapsed="false">
      <c r="A18" s="23" t="n">
        <v>14</v>
      </c>
      <c r="B18" s="10" t="n">
        <v>823480</v>
      </c>
      <c r="C18" s="11" t="s">
        <v>682</v>
      </c>
      <c r="D18" s="12" t="n">
        <v>36360</v>
      </c>
      <c r="E18" s="11" t="s">
        <v>683</v>
      </c>
      <c r="F18" s="11" t="s">
        <v>19</v>
      </c>
      <c r="G18" s="11" t="s">
        <v>684</v>
      </c>
      <c r="H18" s="11" t="s">
        <v>685</v>
      </c>
      <c r="I18" s="11" t="n">
        <v>999257</v>
      </c>
      <c r="J18" s="11" t="n">
        <v>6332</v>
      </c>
      <c r="K18" s="11" t="s">
        <v>22</v>
      </c>
      <c r="L18" s="11" t="s">
        <v>153</v>
      </c>
      <c r="M18" s="24" t="n">
        <v>45728</v>
      </c>
      <c r="N18" s="25" t="n">
        <f aca="false">INT((M18-D18)/365.25)</f>
        <v>25</v>
      </c>
      <c r="O18" s="12" t="s">
        <v>22</v>
      </c>
    </row>
    <row r="19" customFormat="false" ht="15" hidden="false" customHeight="false" outlineLevel="0" collapsed="false">
      <c r="A19" s="23" t="n">
        <v>15</v>
      </c>
      <c r="B19" s="11" t="n">
        <v>867629</v>
      </c>
      <c r="C19" s="11" t="s">
        <v>686</v>
      </c>
      <c r="D19" s="12" t="n">
        <v>35474</v>
      </c>
      <c r="E19" s="11" t="s">
        <v>649</v>
      </c>
      <c r="F19" s="11" t="s">
        <v>19</v>
      </c>
      <c r="G19" s="11" t="s">
        <v>687</v>
      </c>
      <c r="H19" s="11" t="s">
        <v>688</v>
      </c>
      <c r="I19" s="11" t="n">
        <v>5109548</v>
      </c>
      <c r="J19" s="11" t="n">
        <v>50</v>
      </c>
      <c r="K19" s="11" t="s">
        <v>22</v>
      </c>
      <c r="L19" s="11" t="s">
        <v>153</v>
      </c>
      <c r="M19" s="24" t="n">
        <v>45728</v>
      </c>
      <c r="N19" s="25" t="n">
        <f aca="false">INT((M19-D19)/365.25)</f>
        <v>28</v>
      </c>
      <c r="O19" s="12" t="s">
        <v>22</v>
      </c>
    </row>
    <row r="20" customFormat="false" ht="15" hidden="false" customHeight="false" outlineLevel="0" collapsed="false">
      <c r="A20" s="23" t="n">
        <v>16</v>
      </c>
      <c r="B20" s="10" t="n">
        <v>867006</v>
      </c>
      <c r="C20" s="11" t="s">
        <v>689</v>
      </c>
      <c r="D20" s="12" t="n">
        <v>38320</v>
      </c>
      <c r="E20" s="11" t="s">
        <v>653</v>
      </c>
      <c r="F20" s="11" t="s">
        <v>19</v>
      </c>
      <c r="G20" s="11" t="s">
        <v>690</v>
      </c>
      <c r="H20" s="11" t="s">
        <v>691</v>
      </c>
      <c r="I20" s="11" t="n">
        <v>944852</v>
      </c>
      <c r="J20" s="11" t="n">
        <v>2380</v>
      </c>
      <c r="K20" s="11" t="s">
        <v>22</v>
      </c>
      <c r="L20" s="11" t="s">
        <v>153</v>
      </c>
      <c r="M20" s="24" t="n">
        <v>45728</v>
      </c>
      <c r="N20" s="25" t="n">
        <f aca="false">INT((M20-D20)/365.25)</f>
        <v>20</v>
      </c>
      <c r="O20" s="12" t="s">
        <v>22</v>
      </c>
    </row>
    <row r="21" customFormat="false" ht="15" hidden="false" customHeight="false" outlineLevel="0" collapsed="false">
      <c r="A21" s="23" t="n">
        <v>17</v>
      </c>
      <c r="B21" s="11" t="n">
        <v>867594</v>
      </c>
      <c r="C21" s="11" t="s">
        <v>692</v>
      </c>
      <c r="D21" s="12" t="n">
        <v>36820</v>
      </c>
      <c r="E21" s="11" t="s">
        <v>649</v>
      </c>
      <c r="F21" s="11" t="s">
        <v>19</v>
      </c>
      <c r="G21" s="11" t="s">
        <v>693</v>
      </c>
      <c r="H21" s="11" t="s">
        <v>694</v>
      </c>
      <c r="I21" s="11" t="n">
        <v>944850</v>
      </c>
      <c r="J21" s="11" t="n">
        <v>5370</v>
      </c>
      <c r="K21" s="11" t="s">
        <v>22</v>
      </c>
      <c r="L21" s="11" t="s">
        <v>153</v>
      </c>
      <c r="M21" s="24" t="n">
        <v>45728</v>
      </c>
      <c r="N21" s="25" t="n">
        <f aca="false">INT((M21-D21)/365.25)</f>
        <v>24</v>
      </c>
      <c r="O21" s="12" t="s">
        <v>22</v>
      </c>
    </row>
    <row r="22" customFormat="false" ht="15" hidden="false" customHeight="false" outlineLevel="0" collapsed="false">
      <c r="A22" s="23" t="n">
        <v>18</v>
      </c>
      <c r="B22" s="10" t="n">
        <v>866846</v>
      </c>
      <c r="C22" s="11" t="s">
        <v>695</v>
      </c>
      <c r="D22" s="12" t="n">
        <v>37168</v>
      </c>
      <c r="E22" s="11" t="s">
        <v>683</v>
      </c>
      <c r="F22" s="11" t="s">
        <v>19</v>
      </c>
      <c r="G22" s="11" t="s">
        <v>696</v>
      </c>
      <c r="H22" s="11" t="s">
        <v>697</v>
      </c>
      <c r="I22" s="11" t="n">
        <v>1129551</v>
      </c>
      <c r="J22" s="11" t="n">
        <v>8309</v>
      </c>
      <c r="K22" s="11" t="s">
        <v>22</v>
      </c>
      <c r="L22" s="11" t="s">
        <v>153</v>
      </c>
      <c r="M22" s="24" t="n">
        <v>45728</v>
      </c>
      <c r="N22" s="25" t="n">
        <f aca="false">INT((M22-D22)/365.25)</f>
        <v>23</v>
      </c>
      <c r="O22" s="12" t="s">
        <v>22</v>
      </c>
    </row>
    <row r="23" customFormat="false" ht="15" hidden="false" customHeight="false" outlineLevel="0" collapsed="false">
      <c r="A23" s="23" t="n">
        <v>19</v>
      </c>
      <c r="B23" s="10" t="n">
        <v>849969</v>
      </c>
      <c r="C23" s="11" t="s">
        <v>698</v>
      </c>
      <c r="D23" s="12" t="n">
        <v>32095</v>
      </c>
      <c r="E23" s="11" t="s">
        <v>683</v>
      </c>
      <c r="F23" s="11" t="s">
        <v>19</v>
      </c>
      <c r="G23" s="11" t="s">
        <v>699</v>
      </c>
      <c r="H23" s="11" t="s">
        <v>700</v>
      </c>
      <c r="I23" s="11" t="n">
        <v>2745908</v>
      </c>
      <c r="J23" s="11" t="n">
        <v>40</v>
      </c>
      <c r="K23" s="11" t="s">
        <v>22</v>
      </c>
      <c r="L23" s="11" t="s">
        <v>153</v>
      </c>
      <c r="M23" s="24" t="n">
        <v>45728</v>
      </c>
      <c r="N23" s="25" t="n">
        <f aca="false">INT((M23-D23)/365.25)</f>
        <v>37</v>
      </c>
      <c r="O23" s="12" t="s">
        <v>22</v>
      </c>
    </row>
    <row r="24" customFormat="false" ht="15" hidden="false" customHeight="false" outlineLevel="0" collapsed="false">
      <c r="A24" s="23" t="n">
        <v>20</v>
      </c>
      <c r="B24" s="10" t="n">
        <v>839865</v>
      </c>
      <c r="C24" s="11" t="s">
        <v>701</v>
      </c>
      <c r="D24" s="12" t="n">
        <v>35575</v>
      </c>
      <c r="E24" s="11" t="s">
        <v>653</v>
      </c>
      <c r="F24" s="11" t="s">
        <v>19</v>
      </c>
      <c r="G24" s="11" t="s">
        <v>702</v>
      </c>
      <c r="H24" s="11" t="s">
        <v>703</v>
      </c>
      <c r="I24" s="11" t="n">
        <v>817263</v>
      </c>
      <c r="J24" s="11" t="n">
        <v>395</v>
      </c>
      <c r="K24" s="11" t="s">
        <v>22</v>
      </c>
      <c r="L24" s="11" t="s">
        <v>153</v>
      </c>
      <c r="M24" s="24" t="n">
        <v>45728</v>
      </c>
      <c r="N24" s="25" t="n">
        <f aca="false">INT((M24-D24)/365.25)</f>
        <v>27</v>
      </c>
      <c r="O24" s="12" t="s">
        <v>22</v>
      </c>
    </row>
  </sheetData>
  <mergeCells count="1">
    <mergeCell ref="A1:O2"/>
  </mergeCells>
  <conditionalFormatting sqref="N5:N24">
    <cfRule type="colorScale" priority="2">
      <colorScale>
        <cfvo type="num" val="17"/>
        <cfvo type="num" val="18"/>
        <color rgb="FFFF0000"/>
        <color rgb="FF92D050"/>
      </colorScale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7" activeCellId="0" sqref="E17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6.14"/>
    <col collapsed="false" customWidth="true" hidden="false" outlineLevel="0" max="3" min="3" style="0" width="32.43"/>
    <col collapsed="false" customWidth="true" hidden="false" outlineLevel="0" max="5" min="5" style="0" width="20.29"/>
    <col collapsed="false" customWidth="true" hidden="false" outlineLevel="0" max="6" min="6" style="0" width="6.43"/>
    <col collapsed="false" customWidth="true" hidden="false" outlineLevel="0" max="7" min="7" style="0" width="11.86"/>
    <col collapsed="false" customWidth="true" hidden="false" outlineLevel="0" max="8" min="8" style="0" width="12.29"/>
    <col collapsed="false" customWidth="true" hidden="false" outlineLevel="0" max="9" min="9" style="0" width="7.43"/>
    <col collapsed="false" customWidth="true" hidden="false" outlineLevel="0" max="10" min="10" style="0" width="4.43"/>
    <col collapsed="false" customWidth="true" hidden="false" outlineLevel="0" max="11" min="11" style="0" width="5.29"/>
    <col collapsed="false" customWidth="true" hidden="false" outlineLevel="0" max="12" min="12" style="0" width="17.14"/>
    <col collapsed="false" customWidth="true" hidden="false" outlineLevel="0" max="14" min="14" style="0" width="4.86"/>
    <col collapsed="false" customWidth="true" hidden="false" outlineLevel="0" max="15" min="15" style="0" width="6.14"/>
  </cols>
  <sheetData>
    <row r="1" customFormat="false" ht="15" hidden="false" customHeight="false" outlineLevel="0" collapsed="false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customFormat="false" ht="15" hidden="false" customHeight="false" outlineLevel="0" collapsed="false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customFormat="false" ht="15" hidden="false" customHeight="false" outlineLevel="0" collapsed="false">
      <c r="A3" s="19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20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16</v>
      </c>
    </row>
    <row r="4" customFormat="false" ht="15" hidden="false" customHeight="false" outlineLevel="0" collapsed="false">
      <c r="A4" s="21"/>
      <c r="B4" s="2"/>
      <c r="C4" s="6" t="s">
        <v>704</v>
      </c>
      <c r="D4" s="7"/>
      <c r="E4" s="2"/>
      <c r="F4" s="2"/>
      <c r="G4" s="2"/>
      <c r="H4" s="2"/>
      <c r="I4" s="2"/>
      <c r="J4" s="2"/>
      <c r="K4" s="2"/>
      <c r="L4" s="8"/>
      <c r="M4" s="22"/>
      <c r="N4" s="6"/>
      <c r="O4" s="6"/>
    </row>
    <row r="5" customFormat="false" ht="15" hidden="false" customHeight="false" outlineLevel="0" collapsed="false">
      <c r="A5" s="23" t="n">
        <v>1</v>
      </c>
      <c r="B5" s="10" t="n">
        <v>867782</v>
      </c>
      <c r="C5" s="11" t="s">
        <v>705</v>
      </c>
      <c r="D5" s="12" t="n">
        <v>22573</v>
      </c>
      <c r="E5" s="11" t="s">
        <v>649</v>
      </c>
      <c r="F5" s="11" t="s">
        <v>19</v>
      </c>
      <c r="G5" s="11" t="s">
        <v>706</v>
      </c>
      <c r="H5" s="11" t="s">
        <v>707</v>
      </c>
      <c r="I5" s="11" t="n">
        <v>417927</v>
      </c>
      <c r="J5" s="11" t="n">
        <v>1850</v>
      </c>
      <c r="K5" s="11" t="s">
        <v>22</v>
      </c>
      <c r="L5" s="11" t="s">
        <v>153</v>
      </c>
      <c r="M5" s="24" t="n">
        <v>45728</v>
      </c>
      <c r="N5" s="25" t="n">
        <f aca="false">INT((M5-D5)/365.25)</f>
        <v>63</v>
      </c>
      <c r="O5" s="12" t="s">
        <v>22</v>
      </c>
    </row>
    <row r="6" customFormat="false" ht="15" hidden="false" customHeight="false" outlineLevel="0" collapsed="false">
      <c r="A6" s="23" t="n">
        <v>2</v>
      </c>
      <c r="B6" s="10" t="n">
        <v>851790</v>
      </c>
      <c r="C6" s="11" t="s">
        <v>708</v>
      </c>
      <c r="D6" s="12" t="n">
        <v>30307</v>
      </c>
      <c r="E6" s="11" t="s">
        <v>642</v>
      </c>
      <c r="F6" s="11" t="s">
        <v>19</v>
      </c>
      <c r="G6" s="11" t="s">
        <v>709</v>
      </c>
      <c r="H6" s="11" t="s">
        <v>710</v>
      </c>
      <c r="I6" s="11" t="n">
        <v>5101769</v>
      </c>
      <c r="J6" s="11" t="n">
        <v>50</v>
      </c>
      <c r="K6" s="11" t="s">
        <v>22</v>
      </c>
      <c r="L6" s="11" t="s">
        <v>153</v>
      </c>
      <c r="M6" s="24" t="n">
        <v>45728</v>
      </c>
      <c r="N6" s="25" t="n">
        <f aca="false">INT((M6-D6)/365.25)</f>
        <v>42</v>
      </c>
      <c r="O6" s="12" t="s">
        <v>22</v>
      </c>
    </row>
    <row r="7" customFormat="false" ht="15" hidden="false" customHeight="false" outlineLevel="0" collapsed="false">
      <c r="A7" s="23" t="n">
        <v>3</v>
      </c>
      <c r="B7" s="10" t="n">
        <v>867818</v>
      </c>
      <c r="C7" s="11" t="s">
        <v>711</v>
      </c>
      <c r="D7" s="12" t="n">
        <v>34486</v>
      </c>
      <c r="E7" s="11" t="s">
        <v>649</v>
      </c>
      <c r="F7" s="11" t="s">
        <v>19</v>
      </c>
      <c r="G7" s="11" t="s">
        <v>712</v>
      </c>
      <c r="H7" s="11" t="s">
        <v>713</v>
      </c>
      <c r="I7" s="11" t="n">
        <v>621132</v>
      </c>
      <c r="J7" s="11" t="n">
        <v>6327</v>
      </c>
      <c r="K7" s="11" t="s">
        <v>22</v>
      </c>
      <c r="L7" s="11" t="s">
        <v>153</v>
      </c>
      <c r="M7" s="24" t="n">
        <v>45728</v>
      </c>
      <c r="N7" s="25" t="n">
        <f aca="false">INT((M7-D7)/365.25)</f>
        <v>30</v>
      </c>
      <c r="O7" s="12" t="s">
        <v>22</v>
      </c>
    </row>
    <row r="8" customFormat="false" ht="15" hidden="false" customHeight="false" outlineLevel="0" collapsed="false">
      <c r="A8" s="23" t="n">
        <v>4</v>
      </c>
      <c r="B8" s="10" t="n">
        <v>862428</v>
      </c>
      <c r="C8" s="11" t="s">
        <v>714</v>
      </c>
      <c r="D8" s="12" t="n">
        <v>38688</v>
      </c>
      <c r="E8" s="11" t="s">
        <v>642</v>
      </c>
      <c r="F8" s="11" t="s">
        <v>19</v>
      </c>
      <c r="G8" s="11" t="s">
        <v>715</v>
      </c>
      <c r="H8" s="11" t="s">
        <v>716</v>
      </c>
      <c r="I8" s="11" t="n">
        <v>6378830</v>
      </c>
      <c r="J8" s="11" t="n">
        <v>3395</v>
      </c>
      <c r="K8" s="11" t="s">
        <v>22</v>
      </c>
      <c r="L8" s="11" t="s">
        <v>153</v>
      </c>
      <c r="M8" s="24" t="n">
        <v>45728</v>
      </c>
      <c r="N8" s="25" t="n">
        <f aca="false">INT((M8-D8)/365.25)</f>
        <v>19</v>
      </c>
      <c r="O8" s="12" t="s">
        <v>22</v>
      </c>
    </row>
    <row r="9" customFormat="false" ht="15" hidden="false" customHeight="false" outlineLevel="0" collapsed="false">
      <c r="A9" s="23" t="n">
        <v>5</v>
      </c>
      <c r="B9" s="10" t="n">
        <v>862060</v>
      </c>
      <c r="C9" s="11" t="s">
        <v>717</v>
      </c>
      <c r="D9" s="12" t="n">
        <v>28339</v>
      </c>
      <c r="E9" s="11" t="s">
        <v>642</v>
      </c>
      <c r="F9" s="11" t="s">
        <v>19</v>
      </c>
      <c r="G9" s="11" t="s">
        <v>718</v>
      </c>
      <c r="H9" s="11" t="s">
        <v>719</v>
      </c>
      <c r="I9" s="11" t="n">
        <v>264242</v>
      </c>
      <c r="J9" s="11" t="n">
        <v>8311</v>
      </c>
      <c r="K9" s="11" t="s">
        <v>22</v>
      </c>
      <c r="L9" s="11" t="s">
        <v>153</v>
      </c>
      <c r="M9" s="24" t="n">
        <v>45728</v>
      </c>
      <c r="N9" s="25" t="n">
        <f aca="false">INT((M9-D9)/365.25)</f>
        <v>47</v>
      </c>
      <c r="O9" s="12" t="s">
        <v>22</v>
      </c>
    </row>
    <row r="10" customFormat="false" ht="15" hidden="false" customHeight="false" outlineLevel="0" collapsed="false">
      <c r="A10" s="23" t="n">
        <v>6</v>
      </c>
      <c r="B10" s="10" t="n">
        <v>807959</v>
      </c>
      <c r="C10" s="11" t="s">
        <v>720</v>
      </c>
      <c r="D10" s="12" t="n">
        <v>36330</v>
      </c>
      <c r="E10" s="11" t="s">
        <v>649</v>
      </c>
      <c r="F10" s="11" t="s">
        <v>19</v>
      </c>
      <c r="G10" s="11" t="s">
        <v>721</v>
      </c>
      <c r="H10" s="11" t="s">
        <v>722</v>
      </c>
      <c r="I10" s="11" t="n">
        <v>652894</v>
      </c>
      <c r="J10" s="11" t="n">
        <v>1351</v>
      </c>
      <c r="K10" s="11" t="s">
        <v>22</v>
      </c>
      <c r="L10" s="11" t="s">
        <v>153</v>
      </c>
      <c r="M10" s="24" t="n">
        <v>45728</v>
      </c>
      <c r="N10" s="25" t="n">
        <f aca="false">INT((M10-D10)/365.25)</f>
        <v>25</v>
      </c>
      <c r="O10" s="12" t="s">
        <v>22</v>
      </c>
    </row>
    <row r="11" customFormat="false" ht="15" hidden="false" customHeight="false" outlineLevel="0" collapsed="false">
      <c r="A11" s="23" t="n">
        <v>7</v>
      </c>
      <c r="B11" s="10" t="n">
        <v>860011</v>
      </c>
      <c r="C11" s="11" t="s">
        <v>723</v>
      </c>
      <c r="D11" s="12" t="n">
        <v>35282</v>
      </c>
      <c r="E11" s="11" t="s">
        <v>642</v>
      </c>
      <c r="F11" s="11" t="s">
        <v>19</v>
      </c>
      <c r="G11" s="11" t="s">
        <v>724</v>
      </c>
      <c r="H11" s="11" t="s">
        <v>725</v>
      </c>
      <c r="I11" s="11" t="n">
        <v>8700111</v>
      </c>
      <c r="J11" s="11" t="n">
        <v>40</v>
      </c>
      <c r="K11" s="11" t="s">
        <v>22</v>
      </c>
      <c r="L11" s="11" t="s">
        <v>153</v>
      </c>
      <c r="M11" s="24" t="n">
        <v>45728</v>
      </c>
      <c r="N11" s="25" t="n">
        <f aca="false">INT((M11-D11)/365.25)</f>
        <v>28</v>
      </c>
      <c r="O11" s="12" t="s">
        <v>22</v>
      </c>
    </row>
    <row r="12" customFormat="false" ht="15" hidden="false" customHeight="false" outlineLevel="0" collapsed="false">
      <c r="A12" s="23" t="n">
        <v>8</v>
      </c>
      <c r="B12" s="10" t="n">
        <v>867686</v>
      </c>
      <c r="C12" s="11" t="s">
        <v>726</v>
      </c>
      <c r="D12" s="12" t="n">
        <v>38305</v>
      </c>
      <c r="E12" s="11" t="s">
        <v>649</v>
      </c>
      <c r="F12" s="11" t="s">
        <v>19</v>
      </c>
      <c r="G12" s="11" t="s">
        <v>727</v>
      </c>
      <c r="H12" s="11" t="s">
        <v>728</v>
      </c>
      <c r="I12" s="11" t="n">
        <v>990479</v>
      </c>
      <c r="J12" s="11" t="n">
        <v>9350</v>
      </c>
      <c r="K12" s="11" t="s">
        <v>22</v>
      </c>
      <c r="L12" s="11" t="s">
        <v>153</v>
      </c>
      <c r="M12" s="24" t="n">
        <v>45728</v>
      </c>
      <c r="N12" s="25" t="n">
        <f aca="false">INT((M12-D12)/365.25)</f>
        <v>20</v>
      </c>
      <c r="O12" s="12" t="s">
        <v>22</v>
      </c>
    </row>
    <row r="13" customFormat="false" ht="15" hidden="false" customHeight="false" outlineLevel="0" collapsed="false">
      <c r="A13" s="23" t="n">
        <v>9</v>
      </c>
      <c r="B13" s="10" t="n">
        <v>797956</v>
      </c>
      <c r="C13" s="11" t="s">
        <v>729</v>
      </c>
      <c r="D13" s="12" t="n">
        <v>34594</v>
      </c>
      <c r="E13" s="11" t="s">
        <v>649</v>
      </c>
      <c r="F13" s="11" t="s">
        <v>19</v>
      </c>
      <c r="G13" s="11" t="s">
        <v>730</v>
      </c>
      <c r="H13" s="11" t="s">
        <v>731</v>
      </c>
      <c r="I13" s="11" t="n">
        <v>2724677</v>
      </c>
      <c r="J13" s="11" t="n">
        <v>40</v>
      </c>
      <c r="K13" s="11" t="s">
        <v>22</v>
      </c>
      <c r="L13" s="11" t="s">
        <v>153</v>
      </c>
      <c r="M13" s="24" t="n">
        <v>45728</v>
      </c>
      <c r="N13" s="25" t="n">
        <f aca="false">INT((M13-D13)/365.25)</f>
        <v>30</v>
      </c>
      <c r="O13" s="12" t="s">
        <v>22</v>
      </c>
    </row>
    <row r="14" customFormat="false" ht="15" hidden="false" customHeight="false" outlineLevel="0" collapsed="false">
      <c r="A14" s="23" t="n">
        <v>10</v>
      </c>
      <c r="B14" s="10" t="n">
        <v>855817</v>
      </c>
      <c r="C14" s="11" t="s">
        <v>732</v>
      </c>
      <c r="D14" s="12" t="n">
        <v>38789</v>
      </c>
      <c r="E14" s="11" t="s">
        <v>683</v>
      </c>
      <c r="F14" s="11" t="s">
        <v>19</v>
      </c>
      <c r="G14" s="11" t="s">
        <v>733</v>
      </c>
      <c r="H14" s="11" t="s">
        <v>734</v>
      </c>
      <c r="I14" s="11" t="n">
        <v>121994</v>
      </c>
      <c r="J14" s="11" t="n">
        <v>5308</v>
      </c>
      <c r="K14" s="11" t="s">
        <v>22</v>
      </c>
      <c r="L14" s="11" t="s">
        <v>153</v>
      </c>
      <c r="M14" s="24" t="n">
        <v>45728</v>
      </c>
      <c r="N14" s="25" t="n">
        <f aca="false">INT((M14-D14)/365.25)</f>
        <v>18</v>
      </c>
      <c r="O14" s="12" t="s">
        <v>22</v>
      </c>
    </row>
    <row r="15" customFormat="false" ht="15" hidden="false" customHeight="false" outlineLevel="0" collapsed="false">
      <c r="A15" s="23" t="n">
        <v>11</v>
      </c>
      <c r="B15" s="10" t="n">
        <v>849207</v>
      </c>
      <c r="C15" s="11" t="s">
        <v>735</v>
      </c>
      <c r="D15" s="12" t="n">
        <v>38186</v>
      </c>
      <c r="E15" s="11" t="s">
        <v>538</v>
      </c>
      <c r="F15" s="11" t="s">
        <v>19</v>
      </c>
      <c r="G15" s="11" t="s">
        <v>736</v>
      </c>
      <c r="H15" s="11" t="s">
        <v>737</v>
      </c>
      <c r="I15" s="11" t="n">
        <v>738116</v>
      </c>
      <c r="J15" s="11" t="n">
        <v>8316</v>
      </c>
      <c r="K15" s="11" t="s">
        <v>22</v>
      </c>
      <c r="L15" s="11" t="s">
        <v>153</v>
      </c>
      <c r="M15" s="24" t="n">
        <v>45728</v>
      </c>
      <c r="N15" s="25" t="n">
        <f aca="false">INT((M15-D15)/365.25)</f>
        <v>20</v>
      </c>
      <c r="O15" s="12" t="s">
        <v>22</v>
      </c>
    </row>
    <row r="16" customFormat="false" ht="15" hidden="false" customHeight="false" outlineLevel="0" collapsed="false">
      <c r="A16" s="23" t="n">
        <v>12</v>
      </c>
      <c r="B16" s="10" t="n">
        <v>866855</v>
      </c>
      <c r="C16" s="11" t="s">
        <v>738</v>
      </c>
      <c r="D16" s="12" t="n">
        <v>35671</v>
      </c>
      <c r="E16" s="11" t="s">
        <v>538</v>
      </c>
      <c r="F16" s="11" t="s">
        <v>19</v>
      </c>
      <c r="G16" s="11" t="s">
        <v>739</v>
      </c>
      <c r="H16" s="11" t="s">
        <v>740</v>
      </c>
      <c r="I16" s="11" t="n">
        <v>5904844</v>
      </c>
      <c r="J16" s="11" t="n">
        <v>50</v>
      </c>
      <c r="K16" s="11" t="s">
        <v>22</v>
      </c>
      <c r="L16" s="11" t="s">
        <v>153</v>
      </c>
      <c r="M16" s="24" t="n">
        <v>45728</v>
      </c>
      <c r="N16" s="25" t="n">
        <f aca="false">INT((M16-D16)/365.25)</f>
        <v>27</v>
      </c>
      <c r="O16" s="12" t="s">
        <v>22</v>
      </c>
    </row>
    <row r="17" customFormat="false" ht="15" hidden="false" customHeight="false" outlineLevel="0" collapsed="false">
      <c r="A17" s="23" t="n">
        <v>13</v>
      </c>
      <c r="B17" s="10" t="n">
        <v>867777</v>
      </c>
      <c r="C17" s="11" t="s">
        <v>741</v>
      </c>
      <c r="D17" s="12" t="n">
        <v>34187</v>
      </c>
      <c r="E17" s="11" t="s">
        <v>649</v>
      </c>
      <c r="F17" s="11" t="s">
        <v>19</v>
      </c>
      <c r="G17" s="11" t="s">
        <v>742</v>
      </c>
      <c r="H17" s="11" t="s">
        <v>743</v>
      </c>
      <c r="I17" s="11" t="n">
        <v>5901497</v>
      </c>
      <c r="J17" s="11" t="n">
        <v>50</v>
      </c>
      <c r="K17" s="11" t="s">
        <v>22</v>
      </c>
      <c r="L17" s="11" t="s">
        <v>153</v>
      </c>
      <c r="M17" s="24" t="n">
        <v>45728</v>
      </c>
      <c r="N17" s="25" t="n">
        <f aca="false">INT((M17-D17)/365.25)</f>
        <v>31</v>
      </c>
      <c r="O17" s="12" t="s">
        <v>22</v>
      </c>
    </row>
    <row r="18" customFormat="false" ht="15" hidden="false" customHeight="false" outlineLevel="0" collapsed="false">
      <c r="A18" s="23" t="n">
        <v>14</v>
      </c>
      <c r="B18" s="10" t="n">
        <v>867769</v>
      </c>
      <c r="C18" s="11" t="s">
        <v>744</v>
      </c>
      <c r="D18" s="12" t="n">
        <v>27163</v>
      </c>
      <c r="E18" s="11" t="s">
        <v>649</v>
      </c>
      <c r="F18" s="11" t="s">
        <v>19</v>
      </c>
      <c r="G18" s="11" t="s">
        <v>745</v>
      </c>
      <c r="H18" s="11" t="s">
        <v>746</v>
      </c>
      <c r="I18" s="11" t="n">
        <v>9757938</v>
      </c>
      <c r="J18" s="11" t="s">
        <v>747</v>
      </c>
      <c r="K18" s="11" t="s">
        <v>22</v>
      </c>
      <c r="L18" s="11" t="s">
        <v>153</v>
      </c>
      <c r="M18" s="24" t="n">
        <v>45728</v>
      </c>
      <c r="N18" s="25" t="n">
        <f aca="false">INT((M18-D18)/365.25)</f>
        <v>50</v>
      </c>
      <c r="O18" s="12" t="s">
        <v>22</v>
      </c>
    </row>
    <row r="19" customFormat="false" ht="15" hidden="false" customHeight="false" outlineLevel="0" collapsed="false">
      <c r="A19" s="23" t="n">
        <v>15</v>
      </c>
      <c r="B19" s="10" t="n">
        <v>867381</v>
      </c>
      <c r="C19" s="11" t="s">
        <v>748</v>
      </c>
      <c r="D19" s="12" t="n">
        <v>38875</v>
      </c>
      <c r="E19" s="11" t="s">
        <v>649</v>
      </c>
      <c r="F19" s="11" t="s">
        <v>19</v>
      </c>
      <c r="G19" s="11" t="s">
        <v>749</v>
      </c>
      <c r="H19" s="11" t="s">
        <v>750</v>
      </c>
      <c r="I19" s="11" t="n">
        <v>692514</v>
      </c>
      <c r="J19" s="11" t="n">
        <v>4300</v>
      </c>
      <c r="K19" s="11" t="s">
        <v>22</v>
      </c>
      <c r="L19" s="11" t="s">
        <v>153</v>
      </c>
      <c r="M19" s="24" t="n">
        <v>45728</v>
      </c>
      <c r="N19" s="25" t="n">
        <f aca="false">INT((M19-D19)/365.25)</f>
        <v>18</v>
      </c>
      <c r="O19" s="12" t="s">
        <v>22</v>
      </c>
    </row>
  </sheetData>
  <mergeCells count="1">
    <mergeCell ref="A1:O2"/>
  </mergeCells>
  <conditionalFormatting sqref="N5:N19">
    <cfRule type="colorScale" priority="2">
      <colorScale>
        <cfvo type="num" val="17"/>
        <cfvo type="num" val="18"/>
        <color rgb="FFFF0000"/>
        <color rgb="FF92D050"/>
      </colorScale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6.71"/>
    <col collapsed="false" customWidth="true" hidden="false" outlineLevel="0" max="3" min="3" style="0" width="32"/>
    <col collapsed="false" customWidth="true" hidden="false" outlineLevel="0" max="4" min="4" style="0" width="9"/>
    <col collapsed="false" customWidth="true" hidden="false" outlineLevel="0" max="5" min="5" style="0" width="15"/>
    <col collapsed="false" customWidth="true" hidden="false" outlineLevel="0" max="6" min="6" style="0" width="6.43"/>
    <col collapsed="false" customWidth="true" hidden="false" outlineLevel="0" max="7" min="7" style="0" width="11.86"/>
    <col collapsed="false" customWidth="true" hidden="false" outlineLevel="0" max="8" min="8" style="0" width="11.57"/>
    <col collapsed="false" customWidth="true" hidden="false" outlineLevel="0" max="9" min="9" style="0" width="7.15"/>
    <col collapsed="false" customWidth="true" hidden="false" outlineLevel="0" max="10" min="10" style="0" width="4.43"/>
    <col collapsed="false" customWidth="true" hidden="false" outlineLevel="0" max="11" min="11" style="0" width="5.29"/>
    <col collapsed="false" customWidth="true" hidden="false" outlineLevel="0" max="12" min="12" style="0" width="17.43"/>
    <col collapsed="false" customWidth="true" hidden="false" outlineLevel="0" max="13" min="13" style="0" width="9"/>
    <col collapsed="false" customWidth="true" hidden="false" outlineLevel="0" max="14" min="14" style="0" width="5.43"/>
    <col collapsed="false" customWidth="true" hidden="false" outlineLevel="0" max="15" min="15" style="0" width="6.14"/>
  </cols>
  <sheetData>
    <row r="1" customFormat="false" ht="15" hidden="false" customHeight="false" outlineLevel="0" collapsed="false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customFormat="false" ht="15" hidden="false" customHeight="false" outlineLevel="0" collapsed="false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customFormat="false" ht="15" hidden="false" customHeight="false" outlineLevel="0" collapsed="false">
      <c r="A3" s="19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20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16</v>
      </c>
    </row>
    <row r="4" customFormat="false" ht="15" hidden="false" customHeight="false" outlineLevel="0" collapsed="false">
      <c r="A4" s="21"/>
      <c r="B4" s="2"/>
      <c r="C4" s="6" t="s">
        <v>751</v>
      </c>
      <c r="D4" s="7"/>
      <c r="E4" s="2"/>
      <c r="F4" s="2"/>
      <c r="G4" s="2"/>
      <c r="H4" s="2"/>
      <c r="I4" s="2"/>
      <c r="J4" s="2"/>
      <c r="K4" s="2"/>
      <c r="L4" s="8"/>
      <c r="M4" s="22"/>
      <c r="N4" s="6"/>
      <c r="O4" s="6"/>
    </row>
    <row r="5" customFormat="false" ht="15" hidden="false" customHeight="false" outlineLevel="0" collapsed="false">
      <c r="A5" s="23" t="n">
        <v>1</v>
      </c>
      <c r="B5" s="10" t="n">
        <v>526710</v>
      </c>
      <c r="C5" s="11" t="s">
        <v>752</v>
      </c>
      <c r="D5" s="12" t="n">
        <v>25648</v>
      </c>
      <c r="E5" s="11" t="s">
        <v>753</v>
      </c>
      <c r="F5" s="11" t="s">
        <v>754</v>
      </c>
      <c r="G5" s="11" t="s">
        <v>755</v>
      </c>
      <c r="H5" s="11" t="s">
        <v>756</v>
      </c>
      <c r="I5" s="11" t="n">
        <v>7083609</v>
      </c>
      <c r="J5" s="11" t="n">
        <v>4468</v>
      </c>
      <c r="K5" s="11" t="s">
        <v>22</v>
      </c>
      <c r="L5" s="11" t="s">
        <v>757</v>
      </c>
      <c r="M5" s="24" t="n">
        <v>45734</v>
      </c>
      <c r="N5" s="25" t="n">
        <f aca="false">INT((M5-D5)/365.25)</f>
        <v>54</v>
      </c>
      <c r="O5" s="12" t="s">
        <v>22</v>
      </c>
    </row>
    <row r="6" s="16" customFormat="true" ht="15" hidden="false" customHeight="false" outlineLevel="0" collapsed="false">
      <c r="A6" s="23" t="n">
        <v>2</v>
      </c>
      <c r="B6" s="10" t="n">
        <v>867142</v>
      </c>
      <c r="C6" s="11" t="s">
        <v>758</v>
      </c>
      <c r="D6" s="12" t="n">
        <v>33451</v>
      </c>
      <c r="E6" s="11" t="s">
        <v>753</v>
      </c>
      <c r="F6" s="11" t="s">
        <v>754</v>
      </c>
      <c r="G6" s="11" t="s">
        <v>759</v>
      </c>
      <c r="H6" s="11" t="n">
        <v>2943686</v>
      </c>
      <c r="I6" s="11" t="n">
        <v>80582</v>
      </c>
      <c r="J6" s="11" t="n">
        <v>19</v>
      </c>
      <c r="K6" s="11" t="s">
        <v>22</v>
      </c>
      <c r="L6" s="11" t="s">
        <v>757</v>
      </c>
      <c r="M6" s="24" t="n">
        <v>45734</v>
      </c>
      <c r="N6" s="25" t="n">
        <f aca="false">INT((M6-D6)/365.25)</f>
        <v>33</v>
      </c>
      <c r="O6" s="12" t="s">
        <v>22</v>
      </c>
    </row>
    <row r="7" customFormat="false" ht="15" hidden="false" customHeight="false" outlineLevel="0" collapsed="false">
      <c r="A7" s="23" t="n">
        <v>3</v>
      </c>
      <c r="B7" s="10" t="n">
        <v>841568</v>
      </c>
      <c r="C7" s="11" t="s">
        <v>760</v>
      </c>
      <c r="D7" s="12" t="n">
        <v>34433</v>
      </c>
      <c r="E7" s="11" t="s">
        <v>753</v>
      </c>
      <c r="F7" s="11" t="s">
        <v>754</v>
      </c>
      <c r="G7" s="11" t="s">
        <v>761</v>
      </c>
      <c r="H7" s="11" t="n">
        <v>2861504</v>
      </c>
      <c r="I7" s="11" t="n">
        <v>9572514</v>
      </c>
      <c r="J7" s="11" t="n">
        <v>40</v>
      </c>
      <c r="K7" s="11" t="s">
        <v>22</v>
      </c>
      <c r="L7" s="11" t="s">
        <v>757</v>
      </c>
      <c r="M7" s="24" t="n">
        <v>45734</v>
      </c>
      <c r="N7" s="25" t="n">
        <f aca="false">INT((M7-D7)/365.25)</f>
        <v>30</v>
      </c>
      <c r="O7" s="12" t="s">
        <v>22</v>
      </c>
    </row>
    <row r="8" customFormat="false" ht="15" hidden="false" customHeight="false" outlineLevel="0" collapsed="false">
      <c r="A8" s="23" t="n">
        <v>4</v>
      </c>
      <c r="B8" s="36" t="n">
        <v>861401</v>
      </c>
      <c r="C8" s="37" t="s">
        <v>762</v>
      </c>
      <c r="D8" s="12" t="n">
        <v>37050</v>
      </c>
      <c r="E8" s="11" t="s">
        <v>753</v>
      </c>
      <c r="F8" s="11" t="s">
        <v>754</v>
      </c>
      <c r="G8" s="11" t="s">
        <v>763</v>
      </c>
      <c r="H8" s="11" t="n">
        <v>3755744</v>
      </c>
      <c r="I8" s="11" t="n">
        <v>7133559</v>
      </c>
      <c r="J8" s="11" t="n">
        <v>4477</v>
      </c>
      <c r="K8" s="11" t="s">
        <v>22</v>
      </c>
      <c r="L8" s="11" t="s">
        <v>757</v>
      </c>
      <c r="M8" s="24" t="n">
        <v>45734</v>
      </c>
      <c r="N8" s="25" t="n">
        <f aca="false">INT((M8-D8)/365.25)</f>
        <v>23</v>
      </c>
      <c r="O8" s="12" t="s">
        <v>22</v>
      </c>
    </row>
    <row r="9" customFormat="false" ht="15" hidden="false" customHeight="false" outlineLevel="0" collapsed="false">
      <c r="A9" s="23" t="n">
        <v>5</v>
      </c>
      <c r="B9" s="10" t="n">
        <v>867032</v>
      </c>
      <c r="C9" s="11" t="s">
        <v>764</v>
      </c>
      <c r="D9" s="12" t="n">
        <v>38535</v>
      </c>
      <c r="E9" s="11" t="s">
        <v>753</v>
      </c>
      <c r="F9" s="11" t="s">
        <v>754</v>
      </c>
      <c r="G9" s="11" t="s">
        <v>765</v>
      </c>
      <c r="H9" s="11" t="n">
        <v>4043492</v>
      </c>
      <c r="I9" s="11" t="n">
        <v>1366618</v>
      </c>
      <c r="J9" s="11" t="n">
        <v>9474</v>
      </c>
      <c r="K9" s="11" t="s">
        <v>22</v>
      </c>
      <c r="L9" s="11" t="s">
        <v>757</v>
      </c>
      <c r="M9" s="24" t="n">
        <v>45734</v>
      </c>
      <c r="N9" s="25" t="n">
        <f aca="false">INT((M9-D9)/365.25)</f>
        <v>19</v>
      </c>
      <c r="O9" s="12" t="s">
        <v>22</v>
      </c>
    </row>
    <row r="10" customFormat="false" ht="15" hidden="false" customHeight="false" outlineLevel="0" collapsed="false">
      <c r="A10" s="23" t="n">
        <v>6</v>
      </c>
      <c r="B10" s="10" t="n">
        <v>866870</v>
      </c>
      <c r="C10" s="11" t="s">
        <v>766</v>
      </c>
      <c r="D10" s="12" t="n">
        <v>36002</v>
      </c>
      <c r="E10" s="11" t="s">
        <v>753</v>
      </c>
      <c r="F10" s="11" t="s">
        <v>754</v>
      </c>
      <c r="G10" s="11" t="s">
        <v>767</v>
      </c>
      <c r="H10" s="11" t="n">
        <v>3399691</v>
      </c>
      <c r="I10" s="11" t="n">
        <v>5739490</v>
      </c>
      <c r="J10" s="11" t="n">
        <v>50</v>
      </c>
      <c r="K10" s="11" t="s">
        <v>22</v>
      </c>
      <c r="L10" s="11" t="s">
        <v>757</v>
      </c>
      <c r="M10" s="24" t="n">
        <v>45734</v>
      </c>
      <c r="N10" s="25" t="n">
        <f aca="false">INT((M10-D10)/365.25)</f>
        <v>26</v>
      </c>
      <c r="O10" s="12" t="s">
        <v>22</v>
      </c>
    </row>
    <row r="11" customFormat="false" ht="15" hidden="false" customHeight="false" outlineLevel="0" collapsed="false">
      <c r="A11" s="23" t="n">
        <v>7</v>
      </c>
      <c r="B11" s="10" t="n">
        <v>867204</v>
      </c>
      <c r="C11" s="11" t="s">
        <v>768</v>
      </c>
      <c r="D11" s="12" t="n">
        <v>29788</v>
      </c>
      <c r="E11" s="11" t="s">
        <v>753</v>
      </c>
      <c r="F11" s="11" t="s">
        <v>754</v>
      </c>
      <c r="G11" s="11" t="s">
        <v>769</v>
      </c>
      <c r="H11" s="11" t="n">
        <v>2285420</v>
      </c>
      <c r="I11" s="11" t="n">
        <v>70239</v>
      </c>
      <c r="J11" s="11" t="n">
        <v>17</v>
      </c>
      <c r="K11" s="11" t="s">
        <v>22</v>
      </c>
      <c r="L11" s="11" t="s">
        <v>757</v>
      </c>
      <c r="M11" s="24" t="n">
        <v>45734</v>
      </c>
      <c r="N11" s="25" t="n">
        <f aca="false">INT((M11-D11)/365.25)</f>
        <v>43</v>
      </c>
      <c r="O11" s="12" t="s">
        <v>22</v>
      </c>
    </row>
    <row r="12" customFormat="false" ht="15" hidden="false" customHeight="false" outlineLevel="0" collapsed="false">
      <c r="A12" s="23" t="n">
        <v>8</v>
      </c>
      <c r="B12" s="10" t="n">
        <v>867039</v>
      </c>
      <c r="C12" s="11" t="s">
        <v>770</v>
      </c>
      <c r="D12" s="12" t="n">
        <v>38356</v>
      </c>
      <c r="E12" s="11" t="s">
        <v>753</v>
      </c>
      <c r="F12" s="11" t="s">
        <v>754</v>
      </c>
      <c r="G12" s="11" t="s">
        <v>771</v>
      </c>
      <c r="H12" s="11" t="n">
        <v>4208046</v>
      </c>
      <c r="I12" s="11" t="n">
        <v>1519874</v>
      </c>
      <c r="J12" s="11" t="n">
        <v>2430</v>
      </c>
      <c r="K12" s="11" t="s">
        <v>22</v>
      </c>
      <c r="L12" s="11" t="s">
        <v>757</v>
      </c>
      <c r="M12" s="24" t="n">
        <v>45734</v>
      </c>
      <c r="N12" s="25" t="n">
        <f aca="false">INT((M12-D12)/365.25)</f>
        <v>20</v>
      </c>
      <c r="O12" s="12" t="s">
        <v>22</v>
      </c>
    </row>
    <row r="13" customFormat="false" ht="15" hidden="false" customHeight="false" outlineLevel="0" collapsed="false">
      <c r="A13" s="23" t="n">
        <v>9</v>
      </c>
      <c r="B13" s="10" t="n">
        <v>866872</v>
      </c>
      <c r="C13" s="11" t="s">
        <v>772</v>
      </c>
      <c r="D13" s="12" t="n">
        <v>36500</v>
      </c>
      <c r="E13" s="11" t="s">
        <v>773</v>
      </c>
      <c r="F13" s="11" t="s">
        <v>774</v>
      </c>
      <c r="G13" s="11" t="s">
        <v>775</v>
      </c>
      <c r="H13" s="11" t="s">
        <v>776</v>
      </c>
      <c r="I13" s="11" t="n">
        <v>1452392</v>
      </c>
      <c r="J13" s="11" t="n">
        <v>8460</v>
      </c>
      <c r="K13" s="11" t="s">
        <v>22</v>
      </c>
      <c r="L13" s="11" t="s">
        <v>757</v>
      </c>
      <c r="M13" s="24" t="n">
        <v>45734</v>
      </c>
      <c r="N13" s="25" t="n">
        <f aca="false">INT((M13-D13)/365.25)</f>
        <v>25</v>
      </c>
      <c r="O13" s="12" t="s">
        <v>22</v>
      </c>
    </row>
    <row r="14" customFormat="false" ht="15" hidden="false" customHeight="false" outlineLevel="0" collapsed="false">
      <c r="A14" s="23" t="n">
        <v>10</v>
      </c>
      <c r="B14" s="10" t="n">
        <v>848721</v>
      </c>
      <c r="C14" s="11" t="s">
        <v>777</v>
      </c>
      <c r="D14" s="12" t="n">
        <v>29287</v>
      </c>
      <c r="E14" s="11" t="s">
        <v>773</v>
      </c>
      <c r="F14" s="11" t="s">
        <v>774</v>
      </c>
      <c r="G14" s="11" t="s">
        <v>778</v>
      </c>
      <c r="H14" s="11" t="n">
        <v>2663804</v>
      </c>
      <c r="I14" s="11" t="n">
        <v>8004113</v>
      </c>
      <c r="J14" s="11" t="n">
        <v>50</v>
      </c>
      <c r="K14" s="11" t="s">
        <v>22</v>
      </c>
      <c r="L14" s="11" t="s">
        <v>757</v>
      </c>
      <c r="M14" s="24" t="n">
        <v>45734</v>
      </c>
      <c r="N14" s="25" t="n">
        <f aca="false">INT((M14-D14)/365.25)</f>
        <v>45</v>
      </c>
      <c r="O14" s="12" t="s">
        <v>22</v>
      </c>
    </row>
    <row r="15" customFormat="false" ht="15" hidden="false" customHeight="false" outlineLevel="0" collapsed="false">
      <c r="A15" s="23" t="n">
        <v>11</v>
      </c>
      <c r="B15" s="10" t="n">
        <v>861416</v>
      </c>
      <c r="C15" s="11" t="s">
        <v>779</v>
      </c>
      <c r="D15" s="12" t="n">
        <v>28291</v>
      </c>
      <c r="E15" s="11" t="s">
        <v>773</v>
      </c>
      <c r="F15" s="11" t="s">
        <v>774</v>
      </c>
      <c r="G15" s="11" t="s">
        <v>780</v>
      </c>
      <c r="H15" s="11" t="n">
        <v>3013906</v>
      </c>
      <c r="I15" s="11" t="n">
        <v>582330</v>
      </c>
      <c r="J15" s="11" t="n">
        <v>6458</v>
      </c>
      <c r="K15" s="11" t="s">
        <v>22</v>
      </c>
      <c r="L15" s="11" t="s">
        <v>757</v>
      </c>
      <c r="M15" s="24" t="n">
        <v>45734</v>
      </c>
      <c r="N15" s="25" t="n">
        <f aca="false">INT((M15-D15)/365.25)</f>
        <v>47</v>
      </c>
      <c r="O15" s="12" t="s">
        <v>22</v>
      </c>
    </row>
    <row r="16" customFormat="false" ht="15" hidden="false" customHeight="false" outlineLevel="0" collapsed="false">
      <c r="A16" s="23" t="n">
        <v>12</v>
      </c>
      <c r="B16" s="10" t="n">
        <v>861392</v>
      </c>
      <c r="C16" s="11" t="s">
        <v>781</v>
      </c>
      <c r="D16" s="12" t="n">
        <v>29033</v>
      </c>
      <c r="E16" s="11" t="s">
        <v>753</v>
      </c>
      <c r="F16" s="11" t="s">
        <v>754</v>
      </c>
      <c r="G16" s="11" t="s">
        <v>782</v>
      </c>
      <c r="H16" s="11" t="n">
        <v>2035401</v>
      </c>
      <c r="I16" s="11" t="n">
        <v>636320</v>
      </c>
      <c r="J16" s="11" t="n">
        <v>2461</v>
      </c>
      <c r="K16" s="11" t="s">
        <v>22</v>
      </c>
      <c r="L16" s="11" t="s">
        <v>757</v>
      </c>
      <c r="M16" s="24" t="n">
        <v>45734</v>
      </c>
      <c r="N16" s="25" t="n">
        <f aca="false">INT((M16-D16)/365.25)</f>
        <v>45</v>
      </c>
      <c r="O16" s="12" t="s">
        <v>22</v>
      </c>
    </row>
    <row r="17" customFormat="false" ht="15" hidden="false" customHeight="false" outlineLevel="0" collapsed="false">
      <c r="A17" s="23" t="n">
        <v>13</v>
      </c>
      <c r="B17" s="10" t="n">
        <v>849521</v>
      </c>
      <c r="C17" s="11" t="s">
        <v>783</v>
      </c>
      <c r="D17" s="12" t="n">
        <v>27746</v>
      </c>
      <c r="E17" s="11" t="s">
        <v>773</v>
      </c>
      <c r="F17" s="11" t="s">
        <v>774</v>
      </c>
      <c r="G17" s="11" t="s">
        <v>784</v>
      </c>
      <c r="H17" s="11" t="n">
        <v>1858800</v>
      </c>
      <c r="I17" s="11" t="n">
        <v>339926</v>
      </c>
      <c r="J17" s="11" t="n">
        <v>2442</v>
      </c>
      <c r="K17" s="11" t="s">
        <v>22</v>
      </c>
      <c r="L17" s="11" t="s">
        <v>757</v>
      </c>
      <c r="M17" s="24" t="n">
        <v>45734</v>
      </c>
      <c r="N17" s="25" t="n">
        <f aca="false">INT((M17-D17)/365.25)</f>
        <v>49</v>
      </c>
      <c r="O17" s="12" t="s">
        <v>22</v>
      </c>
    </row>
    <row r="18" customFormat="false" ht="15" hidden="false" customHeight="false" outlineLevel="0" collapsed="false">
      <c r="A18" s="23" t="n">
        <v>14</v>
      </c>
      <c r="B18" s="10" t="n">
        <v>861397</v>
      </c>
      <c r="C18" s="11" t="s">
        <v>785</v>
      </c>
      <c r="D18" s="12" t="n">
        <v>30349</v>
      </c>
      <c r="E18" s="11" t="s">
        <v>753</v>
      </c>
      <c r="F18" s="11" t="s">
        <v>754</v>
      </c>
      <c r="G18" s="11" t="s">
        <v>786</v>
      </c>
      <c r="H18" s="11" t="n">
        <v>1991370</v>
      </c>
      <c r="I18" s="11" t="n">
        <v>473018</v>
      </c>
      <c r="J18" s="11" t="n">
        <v>1441</v>
      </c>
      <c r="K18" s="11" t="s">
        <v>22</v>
      </c>
      <c r="L18" s="11" t="s">
        <v>757</v>
      </c>
      <c r="M18" s="24" t="n">
        <v>45734</v>
      </c>
      <c r="N18" s="25" t="n">
        <f aca="false">INT((M18-D18)/365.25)</f>
        <v>42</v>
      </c>
      <c r="O18" s="12" t="s">
        <v>22</v>
      </c>
    </row>
    <row r="19" customFormat="false" ht="15" hidden="false" customHeight="false" outlineLevel="0" collapsed="false">
      <c r="A19" s="23" t="n">
        <v>15</v>
      </c>
      <c r="B19" s="10" t="n">
        <v>867944</v>
      </c>
      <c r="C19" s="11" t="s">
        <v>787</v>
      </c>
      <c r="D19" s="12" t="n">
        <v>39092</v>
      </c>
      <c r="E19" s="11" t="s">
        <v>773</v>
      </c>
      <c r="F19" s="11" t="s">
        <v>774</v>
      </c>
      <c r="G19" s="11" t="s">
        <v>788</v>
      </c>
      <c r="H19" s="11" t="n">
        <v>5177663</v>
      </c>
      <c r="I19" s="11" t="n">
        <v>1726163</v>
      </c>
      <c r="J19" s="11" t="n">
        <v>7416</v>
      </c>
      <c r="K19" s="11" t="s">
        <v>22</v>
      </c>
      <c r="L19" s="11" t="s">
        <v>757</v>
      </c>
      <c r="M19" s="24" t="n">
        <v>45734</v>
      </c>
      <c r="N19" s="25" t="n">
        <f aca="false">INT((M19-D19)/365.25)</f>
        <v>18</v>
      </c>
      <c r="O19" s="12" t="s">
        <v>22</v>
      </c>
    </row>
    <row r="20" customFormat="false" ht="15" hidden="false" customHeight="false" outlineLevel="0" collapsed="false">
      <c r="A20" s="23" t="n">
        <v>16</v>
      </c>
      <c r="B20" s="10" t="n">
        <v>861402</v>
      </c>
      <c r="C20" s="11" t="s">
        <v>789</v>
      </c>
      <c r="D20" s="12" t="n">
        <v>37518</v>
      </c>
      <c r="E20" s="11" t="s">
        <v>790</v>
      </c>
      <c r="F20" s="11" t="s">
        <v>774</v>
      </c>
      <c r="G20" s="11" t="s">
        <v>791</v>
      </c>
      <c r="H20" s="11" t="n">
        <v>5152467</v>
      </c>
      <c r="I20" s="11" t="n">
        <v>1710133</v>
      </c>
      <c r="J20" s="11" t="n">
        <v>3406</v>
      </c>
      <c r="K20" s="11" t="s">
        <v>22</v>
      </c>
      <c r="L20" s="11" t="s">
        <v>757</v>
      </c>
      <c r="M20" s="24" t="n">
        <v>45734</v>
      </c>
      <c r="N20" s="25" t="n">
        <f aca="false">INT((M20-D20)/365.25)</f>
        <v>22</v>
      </c>
      <c r="O20" s="12" t="s">
        <v>22</v>
      </c>
    </row>
    <row r="21" customFormat="false" ht="15" hidden="false" customHeight="false" outlineLevel="0" collapsed="false">
      <c r="A21" s="23" t="n">
        <v>17</v>
      </c>
      <c r="B21" s="10" t="n">
        <v>861367</v>
      </c>
      <c r="C21" s="11" t="s">
        <v>792</v>
      </c>
      <c r="D21" s="12" t="n">
        <v>31810</v>
      </c>
      <c r="E21" s="11" t="s">
        <v>753</v>
      </c>
      <c r="F21" s="11" t="s">
        <v>754</v>
      </c>
      <c r="G21" s="11" t="s">
        <v>793</v>
      </c>
      <c r="H21" s="11" t="n">
        <v>2625957</v>
      </c>
      <c r="I21" s="11" t="n">
        <v>5988330</v>
      </c>
      <c r="J21" s="11" t="s">
        <v>747</v>
      </c>
      <c r="K21" s="11" t="s">
        <v>22</v>
      </c>
      <c r="L21" s="11" t="s">
        <v>757</v>
      </c>
      <c r="M21" s="24" t="n">
        <v>45734</v>
      </c>
      <c r="N21" s="25" t="n">
        <f aca="false">INT((M21-D21)/365.25)</f>
        <v>38</v>
      </c>
      <c r="O21" s="12" t="s">
        <v>22</v>
      </c>
    </row>
    <row r="22" customFormat="false" ht="15" hidden="false" customHeight="false" outlineLevel="0" collapsed="false">
      <c r="A22" s="23" t="n">
        <v>18</v>
      </c>
      <c r="B22" s="10" t="n">
        <v>526810</v>
      </c>
      <c r="C22" s="11" t="s">
        <v>794</v>
      </c>
      <c r="D22" s="12" t="n">
        <v>30012</v>
      </c>
      <c r="E22" s="11" t="s">
        <v>753</v>
      </c>
      <c r="F22" s="11" t="s">
        <v>754</v>
      </c>
      <c r="G22" s="11" t="s">
        <v>795</v>
      </c>
      <c r="H22" s="11" t="n">
        <v>1965338</v>
      </c>
      <c r="I22" s="11" t="n">
        <v>499062</v>
      </c>
      <c r="J22" s="11" t="n">
        <v>4424</v>
      </c>
      <c r="K22" s="11" t="s">
        <v>22</v>
      </c>
      <c r="L22" s="11" t="s">
        <v>757</v>
      </c>
      <c r="M22" s="24" t="n">
        <v>45734</v>
      </c>
      <c r="N22" s="25" t="n">
        <f aca="false">INT((M22-D22)/365.25)</f>
        <v>43</v>
      </c>
      <c r="O22" s="12" t="s">
        <v>22</v>
      </c>
    </row>
    <row r="23" customFormat="false" ht="15" hidden="false" customHeight="false" outlineLevel="0" collapsed="false">
      <c r="A23" s="23" t="n">
        <v>19</v>
      </c>
      <c r="B23" s="10" t="n">
        <v>842978</v>
      </c>
      <c r="C23" s="11" t="s">
        <v>796</v>
      </c>
      <c r="D23" s="12" t="n">
        <v>30965</v>
      </c>
      <c r="E23" s="11" t="s">
        <v>753</v>
      </c>
      <c r="F23" s="11" t="s">
        <v>754</v>
      </c>
      <c r="G23" s="11" t="s">
        <v>797</v>
      </c>
      <c r="H23" s="11" t="n">
        <v>2413174</v>
      </c>
      <c r="I23" s="11" t="n">
        <v>577589</v>
      </c>
      <c r="J23" s="11" t="n">
        <v>400</v>
      </c>
      <c r="K23" s="11" t="s">
        <v>22</v>
      </c>
      <c r="L23" s="11" t="s">
        <v>757</v>
      </c>
      <c r="M23" s="24" t="n">
        <v>45734</v>
      </c>
      <c r="N23" s="25" t="n">
        <f aca="false">INT((M23-D23)/365.25)</f>
        <v>40</v>
      </c>
      <c r="O23" s="12" t="s">
        <v>22</v>
      </c>
    </row>
    <row r="24" customFormat="false" ht="15" hidden="false" customHeight="false" outlineLevel="0" collapsed="false">
      <c r="A24" s="23" t="n">
        <v>20</v>
      </c>
      <c r="B24" s="10" t="n">
        <v>837316</v>
      </c>
      <c r="C24" s="11" t="s">
        <v>798</v>
      </c>
      <c r="D24" s="12" t="n">
        <v>35953</v>
      </c>
      <c r="E24" s="11" t="s">
        <v>753</v>
      </c>
      <c r="F24" s="11" t="s">
        <v>754</v>
      </c>
      <c r="G24" s="11" t="s">
        <v>799</v>
      </c>
      <c r="H24" s="11" t="n">
        <v>3193082</v>
      </c>
      <c r="I24" s="11" t="n">
        <v>8716838</v>
      </c>
      <c r="J24" s="11" t="n">
        <v>50</v>
      </c>
      <c r="K24" s="11" t="s">
        <v>22</v>
      </c>
      <c r="L24" s="11" t="s">
        <v>757</v>
      </c>
      <c r="M24" s="24" t="n">
        <v>45734</v>
      </c>
      <c r="N24" s="25" t="n">
        <f aca="false">INT((M24-D24)/365.25)</f>
        <v>26</v>
      </c>
      <c r="O24" s="12" t="s">
        <v>22</v>
      </c>
    </row>
    <row r="25" customFormat="false" ht="15" hidden="false" customHeight="false" outlineLevel="0" collapsed="false">
      <c r="A25" s="23" t="n">
        <v>21</v>
      </c>
      <c r="B25" s="10" t="n">
        <v>867985</v>
      </c>
      <c r="C25" s="11" t="s">
        <v>800</v>
      </c>
      <c r="D25" s="12" t="n">
        <v>36101</v>
      </c>
      <c r="E25" s="11" t="s">
        <v>773</v>
      </c>
      <c r="F25" s="11" t="s">
        <v>774</v>
      </c>
      <c r="G25" s="11" t="s">
        <v>801</v>
      </c>
      <c r="H25" s="11" t="n">
        <v>4192358</v>
      </c>
      <c r="I25" s="11" t="n">
        <v>1214313</v>
      </c>
      <c r="J25" s="11" t="n">
        <v>4428</v>
      </c>
      <c r="K25" s="11" t="s">
        <v>22</v>
      </c>
      <c r="L25" s="11" t="s">
        <v>757</v>
      </c>
      <c r="M25" s="24" t="n">
        <v>45734</v>
      </c>
      <c r="N25" s="25" t="n">
        <f aca="false">INT((M25-D25)/365.25)</f>
        <v>26</v>
      </c>
      <c r="O25" s="12" t="s">
        <v>22</v>
      </c>
    </row>
    <row r="26" customFormat="false" ht="15" hidden="false" customHeight="false" outlineLevel="0" collapsed="false">
      <c r="A26" s="23" t="n">
        <v>22</v>
      </c>
      <c r="B26" s="10" t="n">
        <v>842021</v>
      </c>
      <c r="C26" s="11" t="s">
        <v>802</v>
      </c>
      <c r="D26" s="12" t="n">
        <v>32774</v>
      </c>
      <c r="E26" s="11" t="s">
        <v>773</v>
      </c>
      <c r="F26" s="11" t="s">
        <v>774</v>
      </c>
      <c r="G26" s="11" t="s">
        <v>803</v>
      </c>
      <c r="H26" s="11" t="n">
        <v>3599092</v>
      </c>
      <c r="I26" s="11" t="n">
        <v>896592</v>
      </c>
      <c r="J26" s="11" t="n">
        <v>1465</v>
      </c>
      <c r="K26" s="11" t="s">
        <v>22</v>
      </c>
      <c r="L26" s="11" t="s">
        <v>757</v>
      </c>
      <c r="M26" s="24" t="n">
        <v>45734</v>
      </c>
      <c r="N26" s="25" t="n">
        <f aca="false">INT((M26-D26)/365.25)</f>
        <v>35</v>
      </c>
      <c r="O26" s="12" t="s">
        <v>22</v>
      </c>
    </row>
    <row r="27" customFormat="false" ht="15" hidden="false" customHeight="false" outlineLevel="0" collapsed="false">
      <c r="A27" s="23" t="n">
        <v>23</v>
      </c>
      <c r="B27" s="10" t="n">
        <v>866897</v>
      </c>
      <c r="C27" s="11" t="s">
        <v>804</v>
      </c>
      <c r="D27" s="12" t="n">
        <v>37256</v>
      </c>
      <c r="E27" s="11" t="s">
        <v>790</v>
      </c>
      <c r="F27" s="11" t="s">
        <v>774</v>
      </c>
      <c r="G27" s="11" t="s">
        <v>805</v>
      </c>
      <c r="H27" s="11" t="n">
        <v>4763886</v>
      </c>
      <c r="I27" s="11" t="n">
        <v>1444823</v>
      </c>
      <c r="J27" s="11" t="n">
        <v>7443</v>
      </c>
      <c r="K27" s="11" t="s">
        <v>22</v>
      </c>
      <c r="L27" s="11" t="s">
        <v>757</v>
      </c>
      <c r="M27" s="24" t="n">
        <v>45734</v>
      </c>
      <c r="N27" s="25" t="n">
        <f aca="false">INT((M27-D27)/365.25)</f>
        <v>23</v>
      </c>
      <c r="O27" s="12" t="s">
        <v>22</v>
      </c>
    </row>
    <row r="28" customFormat="false" ht="15" hidden="false" customHeight="false" outlineLevel="0" collapsed="false">
      <c r="A28" s="23" t="n">
        <v>24</v>
      </c>
      <c r="B28" s="10" t="n">
        <v>867034</v>
      </c>
      <c r="C28" s="11" t="s">
        <v>806</v>
      </c>
      <c r="D28" s="12" t="n">
        <v>38659</v>
      </c>
      <c r="E28" s="11" t="s">
        <v>753</v>
      </c>
      <c r="F28" s="11" t="s">
        <v>754</v>
      </c>
      <c r="G28" s="11" t="s">
        <v>807</v>
      </c>
      <c r="H28" s="11" t="n">
        <v>4271246</v>
      </c>
      <c r="I28" s="11" t="n">
        <v>7139423</v>
      </c>
      <c r="J28" s="11" t="n">
        <v>1482</v>
      </c>
      <c r="K28" s="11" t="s">
        <v>22</v>
      </c>
      <c r="L28" s="11" t="s">
        <v>757</v>
      </c>
      <c r="M28" s="24" t="n">
        <v>45734</v>
      </c>
      <c r="N28" s="25" t="n">
        <f aca="false">INT((M28-D28)/365.25)</f>
        <v>19</v>
      </c>
      <c r="O28" s="12" t="s">
        <v>22</v>
      </c>
    </row>
    <row r="29" customFormat="false" ht="15" hidden="false" customHeight="false" outlineLevel="0" collapsed="false">
      <c r="A29" s="23" t="n">
        <v>25</v>
      </c>
      <c r="B29" s="10" t="n">
        <v>866880</v>
      </c>
      <c r="C29" s="11" t="s">
        <v>808</v>
      </c>
      <c r="D29" s="12" t="n">
        <v>31538</v>
      </c>
      <c r="E29" s="11" t="s">
        <v>753</v>
      </c>
      <c r="F29" s="11" t="s">
        <v>754</v>
      </c>
      <c r="G29" s="11" t="s">
        <v>809</v>
      </c>
      <c r="H29" s="11" t="n">
        <v>2514723</v>
      </c>
      <c r="I29" s="11" t="n">
        <v>631683</v>
      </c>
      <c r="J29" s="11" t="n">
        <v>7470</v>
      </c>
      <c r="K29" s="11" t="s">
        <v>22</v>
      </c>
      <c r="L29" s="11" t="s">
        <v>757</v>
      </c>
      <c r="M29" s="24" t="n">
        <v>45734</v>
      </c>
      <c r="N29" s="25" t="n">
        <f aca="false">INT((M29-D29)/365.25)</f>
        <v>38</v>
      </c>
      <c r="O29" s="12" t="s">
        <v>22</v>
      </c>
    </row>
    <row r="30" customFormat="false" ht="15" hidden="false" customHeight="false" outlineLevel="0" collapsed="false">
      <c r="A30" s="23" t="n">
        <v>26</v>
      </c>
      <c r="B30" s="10" t="n">
        <v>861383</v>
      </c>
      <c r="C30" s="11" t="s">
        <v>810</v>
      </c>
      <c r="D30" s="12" t="n">
        <v>30381</v>
      </c>
      <c r="E30" s="11" t="s">
        <v>753</v>
      </c>
      <c r="F30" s="11" t="s">
        <v>754</v>
      </c>
      <c r="G30" s="11" t="s">
        <v>811</v>
      </c>
      <c r="H30" s="11" t="s">
        <v>812</v>
      </c>
      <c r="I30" s="11" t="n">
        <v>598930</v>
      </c>
      <c r="J30" s="11" t="n">
        <v>8418</v>
      </c>
      <c r="K30" s="11" t="s">
        <v>22</v>
      </c>
      <c r="L30" s="11" t="s">
        <v>757</v>
      </c>
      <c r="M30" s="24" t="n">
        <v>45734</v>
      </c>
      <c r="N30" s="25" t="n">
        <f aca="false">INT((M30-D30)/365.25)</f>
        <v>42</v>
      </c>
      <c r="O30" s="12" t="s">
        <v>22</v>
      </c>
    </row>
    <row r="31" customFormat="false" ht="15" hidden="false" customHeight="false" outlineLevel="0" collapsed="false">
      <c r="A31" s="23" t="n">
        <v>27</v>
      </c>
      <c r="B31" s="10" t="n">
        <v>841193</v>
      </c>
      <c r="C31" s="11" t="s">
        <v>813</v>
      </c>
      <c r="D31" s="12" t="n">
        <v>38306</v>
      </c>
      <c r="E31" s="11" t="s">
        <v>753</v>
      </c>
      <c r="F31" s="11" t="s">
        <v>754</v>
      </c>
      <c r="G31" s="11" t="s">
        <v>814</v>
      </c>
      <c r="H31" s="11" t="s">
        <v>815</v>
      </c>
      <c r="I31" s="11" t="n">
        <v>1426094</v>
      </c>
      <c r="J31" s="11" t="n">
        <v>1402</v>
      </c>
      <c r="K31" s="11" t="s">
        <v>22</v>
      </c>
      <c r="L31" s="11" t="s">
        <v>757</v>
      </c>
      <c r="M31" s="24" t="n">
        <v>45734</v>
      </c>
      <c r="N31" s="25" t="n">
        <f aca="false">INT((M31-D31)/365.25)</f>
        <v>20</v>
      </c>
      <c r="O31" s="12" t="s">
        <v>22</v>
      </c>
    </row>
    <row r="32" customFormat="false" ht="15" hidden="false" customHeight="false" outlineLevel="0" collapsed="false">
      <c r="A32" s="23" t="n">
        <v>28</v>
      </c>
      <c r="B32" s="10" t="n">
        <v>861405</v>
      </c>
      <c r="C32" s="11" t="s">
        <v>816</v>
      </c>
      <c r="D32" s="12" t="n">
        <v>37298</v>
      </c>
      <c r="E32" s="11" t="s">
        <v>773</v>
      </c>
      <c r="F32" s="11" t="s">
        <v>774</v>
      </c>
      <c r="G32" s="11" t="s">
        <v>817</v>
      </c>
      <c r="H32" s="11" t="n">
        <v>4831598</v>
      </c>
      <c r="I32" s="11" t="n">
        <v>1740514</v>
      </c>
      <c r="J32" s="11" t="n">
        <v>1498</v>
      </c>
      <c r="K32" s="11" t="s">
        <v>22</v>
      </c>
      <c r="L32" s="11" t="s">
        <v>757</v>
      </c>
      <c r="M32" s="24" t="n">
        <v>45734</v>
      </c>
      <c r="N32" s="25" t="n">
        <f aca="false">INT((M32-D32)/365.25)</f>
        <v>23</v>
      </c>
      <c r="O32" s="12" t="s">
        <v>22</v>
      </c>
    </row>
    <row r="33" customFormat="false" ht="15" hidden="false" customHeight="false" outlineLevel="0" collapsed="false">
      <c r="A33" s="23" t="n">
        <v>29</v>
      </c>
      <c r="B33" s="10" t="n">
        <v>841666</v>
      </c>
      <c r="C33" s="11" t="s">
        <v>818</v>
      </c>
      <c r="D33" s="12" t="n">
        <v>35321</v>
      </c>
      <c r="E33" s="11" t="s">
        <v>773</v>
      </c>
      <c r="F33" s="11" t="s">
        <v>774</v>
      </c>
      <c r="G33" s="11" t="s">
        <v>819</v>
      </c>
      <c r="H33" s="11" t="n">
        <v>4154937</v>
      </c>
      <c r="I33" s="11" t="n">
        <v>7046305</v>
      </c>
      <c r="J33" s="11" t="n">
        <v>9433</v>
      </c>
      <c r="K33" s="11" t="s">
        <v>22</v>
      </c>
      <c r="L33" s="11" t="s">
        <v>757</v>
      </c>
      <c r="M33" s="24" t="n">
        <v>45734</v>
      </c>
      <c r="N33" s="25" t="n">
        <f aca="false">INT((M33-D33)/365.25)</f>
        <v>28</v>
      </c>
      <c r="O33" s="12" t="s">
        <v>22</v>
      </c>
    </row>
    <row r="34" customFormat="false" ht="15" hidden="false" customHeight="false" outlineLevel="0" collapsed="false">
      <c r="A34" s="23" t="n">
        <v>30</v>
      </c>
      <c r="B34" s="10" t="n">
        <v>624570</v>
      </c>
      <c r="C34" s="11" t="s">
        <v>820</v>
      </c>
      <c r="D34" s="12" t="n">
        <v>33792</v>
      </c>
      <c r="E34" s="11" t="s">
        <v>753</v>
      </c>
      <c r="F34" s="11" t="s">
        <v>754</v>
      </c>
      <c r="G34" s="11" t="s">
        <v>821</v>
      </c>
      <c r="H34" s="11" t="n">
        <v>2861198</v>
      </c>
      <c r="I34" s="11" t="n">
        <v>1102419</v>
      </c>
      <c r="J34" s="11" t="n">
        <v>447</v>
      </c>
      <c r="K34" s="11" t="s">
        <v>22</v>
      </c>
      <c r="L34" s="11" t="s">
        <v>757</v>
      </c>
      <c r="M34" s="24" t="n">
        <v>45734</v>
      </c>
      <c r="N34" s="25" t="n">
        <f aca="false">INT((M34-D34)/365.25)</f>
        <v>32</v>
      </c>
      <c r="O34" s="12" t="s">
        <v>22</v>
      </c>
    </row>
    <row r="35" customFormat="false" ht="15" hidden="false" customHeight="false" outlineLevel="0" collapsed="false">
      <c r="A35" s="23" t="n">
        <v>31</v>
      </c>
      <c r="B35" s="10" t="n">
        <v>867544</v>
      </c>
      <c r="C35" s="11" t="s">
        <v>822</v>
      </c>
      <c r="D35" s="12" t="n">
        <v>31098</v>
      </c>
      <c r="E35" s="11" t="s">
        <v>753</v>
      </c>
      <c r="F35" s="11" t="s">
        <v>754</v>
      </c>
      <c r="G35" s="11" t="s">
        <v>823</v>
      </c>
      <c r="H35" s="11" t="s">
        <v>824</v>
      </c>
      <c r="I35" s="11" t="n">
        <v>579075</v>
      </c>
      <c r="J35" s="11" t="n">
        <v>6484</v>
      </c>
      <c r="K35" s="11" t="s">
        <v>22</v>
      </c>
      <c r="L35" s="11" t="s">
        <v>757</v>
      </c>
      <c r="M35" s="24" t="n">
        <v>45734</v>
      </c>
      <c r="N35" s="25" t="n">
        <f aca="false">INT((M35-D35)/365.25)</f>
        <v>40</v>
      </c>
      <c r="O35" s="12" t="s">
        <v>22</v>
      </c>
    </row>
    <row r="36" customFormat="false" ht="15" hidden="false" customHeight="false" outlineLevel="0" collapsed="false">
      <c r="A36" s="23" t="n">
        <v>32</v>
      </c>
      <c r="B36" s="10" t="n">
        <v>866892</v>
      </c>
      <c r="C36" s="11" t="s">
        <v>825</v>
      </c>
      <c r="D36" s="12" t="n">
        <v>36917</v>
      </c>
      <c r="E36" s="11" t="s">
        <v>753</v>
      </c>
      <c r="F36" s="11" t="s">
        <v>754</v>
      </c>
      <c r="G36" s="11" t="s">
        <v>826</v>
      </c>
      <c r="H36" s="11" t="n">
        <v>3498036</v>
      </c>
      <c r="I36" s="11" t="n">
        <v>998124</v>
      </c>
      <c r="J36" s="11" t="n">
        <v>5402</v>
      </c>
      <c r="K36" s="11" t="s">
        <v>22</v>
      </c>
      <c r="L36" s="11" t="s">
        <v>757</v>
      </c>
      <c r="M36" s="24" t="n">
        <v>45734</v>
      </c>
      <c r="N36" s="25" t="n">
        <f aca="false">INT((M36-D36)/365.25)</f>
        <v>24</v>
      </c>
      <c r="O36" s="12" t="s">
        <v>22</v>
      </c>
    </row>
    <row r="37" customFormat="false" ht="15" hidden="false" customHeight="false" outlineLevel="0" collapsed="false">
      <c r="A37" s="23" t="n">
        <v>33</v>
      </c>
      <c r="B37" s="10" t="n">
        <v>574045</v>
      </c>
      <c r="C37" s="11" t="s">
        <v>827</v>
      </c>
      <c r="D37" s="12" t="n">
        <v>28341</v>
      </c>
      <c r="E37" s="11" t="s">
        <v>753</v>
      </c>
      <c r="F37" s="11" t="s">
        <v>754</v>
      </c>
      <c r="G37" s="11" t="s">
        <v>828</v>
      </c>
      <c r="H37" s="11" t="n">
        <v>1703068</v>
      </c>
      <c r="I37" s="11" t="n">
        <v>6538287</v>
      </c>
      <c r="J37" s="11" t="n">
        <v>50</v>
      </c>
      <c r="K37" s="11" t="s">
        <v>22</v>
      </c>
      <c r="L37" s="11" t="s">
        <v>757</v>
      </c>
      <c r="M37" s="24" t="n">
        <v>45734</v>
      </c>
      <c r="N37" s="25" t="n">
        <f aca="false">INT((M37-D37)/365.25)</f>
        <v>47</v>
      </c>
      <c r="O37" s="12" t="s">
        <v>22</v>
      </c>
    </row>
    <row r="38" customFormat="false" ht="15" hidden="false" customHeight="false" outlineLevel="0" collapsed="false">
      <c r="A38" s="23" t="n">
        <v>34</v>
      </c>
      <c r="B38" s="10" t="n">
        <v>861407</v>
      </c>
      <c r="C38" s="11" t="s">
        <v>829</v>
      </c>
      <c r="D38" s="12" t="n">
        <v>34218</v>
      </c>
      <c r="E38" s="11" t="s">
        <v>790</v>
      </c>
      <c r="F38" s="11" t="s">
        <v>774</v>
      </c>
      <c r="G38" s="11" t="s">
        <v>830</v>
      </c>
      <c r="H38" s="11" t="n">
        <v>4025738</v>
      </c>
      <c r="I38" s="11" t="n">
        <v>1135685</v>
      </c>
      <c r="J38" s="11" t="n">
        <v>1428</v>
      </c>
      <c r="K38" s="11" t="s">
        <v>22</v>
      </c>
      <c r="L38" s="11" t="s">
        <v>757</v>
      </c>
      <c r="M38" s="24" t="n">
        <v>45734</v>
      </c>
      <c r="N38" s="25" t="n">
        <f aca="false">INT((M38-D38)/365.25)</f>
        <v>31</v>
      </c>
      <c r="O38" s="12" t="s">
        <v>22</v>
      </c>
    </row>
    <row r="39" customFormat="false" ht="15" hidden="false" customHeight="false" outlineLevel="0" collapsed="false">
      <c r="A39" s="23" t="n">
        <v>35</v>
      </c>
      <c r="B39" s="10" t="n">
        <v>866894</v>
      </c>
      <c r="C39" s="11" t="s">
        <v>831</v>
      </c>
      <c r="D39" s="12" t="n">
        <v>29981</v>
      </c>
      <c r="E39" s="11" t="s">
        <v>790</v>
      </c>
      <c r="F39" s="11" t="s">
        <v>774</v>
      </c>
      <c r="G39" s="11" t="s">
        <v>832</v>
      </c>
      <c r="H39" s="11" t="n">
        <v>3041333</v>
      </c>
      <c r="I39" s="11" t="n">
        <v>7244835</v>
      </c>
      <c r="J39" s="11" t="n">
        <v>30</v>
      </c>
      <c r="K39" s="11" t="s">
        <v>22</v>
      </c>
      <c r="L39" s="11" t="s">
        <v>757</v>
      </c>
      <c r="M39" s="24" t="n">
        <v>45734</v>
      </c>
      <c r="N39" s="25" t="n">
        <f aca="false">INT((M39-D39)/365.25)</f>
        <v>43</v>
      </c>
      <c r="O39" s="12" t="s">
        <v>22</v>
      </c>
    </row>
    <row r="40" customFormat="false" ht="15" hidden="false" customHeight="false" outlineLevel="0" collapsed="false">
      <c r="A40" s="23" t="n">
        <v>36</v>
      </c>
      <c r="B40" s="10" t="n">
        <v>574030</v>
      </c>
      <c r="C40" s="11" t="s">
        <v>833</v>
      </c>
      <c r="D40" s="12" t="n">
        <v>33196</v>
      </c>
      <c r="E40" s="11" t="s">
        <v>753</v>
      </c>
      <c r="F40" s="11" t="s">
        <v>754</v>
      </c>
      <c r="G40" s="11" t="s">
        <v>834</v>
      </c>
      <c r="H40" s="11" t="n">
        <v>2595505</v>
      </c>
      <c r="I40" s="11" t="n">
        <v>989787</v>
      </c>
      <c r="J40" s="11" t="n">
        <v>1411</v>
      </c>
      <c r="K40" s="11" t="s">
        <v>22</v>
      </c>
      <c r="L40" s="11" t="s">
        <v>757</v>
      </c>
      <c r="M40" s="24" t="n">
        <v>45734</v>
      </c>
      <c r="N40" s="25" t="n">
        <f aca="false">INT((M40-D40)/365.25)</f>
        <v>34</v>
      </c>
      <c r="O40" s="12" t="s">
        <v>22</v>
      </c>
    </row>
    <row r="41" customFormat="false" ht="15" hidden="false" customHeight="false" outlineLevel="0" collapsed="false">
      <c r="A41" s="23" t="n">
        <v>37</v>
      </c>
      <c r="B41" s="10" t="n">
        <v>866895</v>
      </c>
      <c r="C41" s="11" t="s">
        <v>835</v>
      </c>
      <c r="D41" s="12" t="n">
        <v>39037</v>
      </c>
      <c r="E41" s="11" t="s">
        <v>753</v>
      </c>
      <c r="F41" s="11" t="s">
        <v>754</v>
      </c>
      <c r="G41" s="11" t="s">
        <v>836</v>
      </c>
      <c r="H41" s="11" t="s">
        <v>837</v>
      </c>
      <c r="I41" s="11" t="n">
        <v>1327876</v>
      </c>
      <c r="J41" s="11" t="n">
        <v>5400</v>
      </c>
      <c r="K41" s="11" t="s">
        <v>22</v>
      </c>
      <c r="L41" s="11" t="s">
        <v>757</v>
      </c>
      <c r="M41" s="24" t="n">
        <v>45734</v>
      </c>
      <c r="N41" s="25" t="n">
        <f aca="false">INT((M41-D41)/365.25)</f>
        <v>18</v>
      </c>
      <c r="O41" s="12" t="s">
        <v>22</v>
      </c>
    </row>
    <row r="42" customFormat="false" ht="15" hidden="false" customHeight="false" outlineLevel="0" collapsed="false">
      <c r="A42" s="23" t="n">
        <v>38</v>
      </c>
      <c r="B42" s="10" t="n">
        <v>861418</v>
      </c>
      <c r="C42" s="11" t="s">
        <v>838</v>
      </c>
      <c r="D42" s="12" t="n">
        <v>34647</v>
      </c>
      <c r="E42" s="11" t="s">
        <v>773</v>
      </c>
      <c r="F42" s="11" t="s">
        <v>774</v>
      </c>
      <c r="G42" s="11" t="s">
        <v>839</v>
      </c>
      <c r="H42" s="11" t="n">
        <v>3760779</v>
      </c>
      <c r="I42" s="11" t="n">
        <v>1152329</v>
      </c>
      <c r="J42" s="11" t="n">
        <v>1460</v>
      </c>
      <c r="K42" s="11" t="s">
        <v>22</v>
      </c>
      <c r="L42" s="11" t="s">
        <v>757</v>
      </c>
      <c r="M42" s="24" t="n">
        <v>45734</v>
      </c>
      <c r="N42" s="25" t="n">
        <f aca="false">INT((M42-D42)/365.25)</f>
        <v>30</v>
      </c>
      <c r="O42" s="12" t="s">
        <v>22</v>
      </c>
    </row>
  </sheetData>
  <mergeCells count="1">
    <mergeCell ref="A1:O2"/>
  </mergeCells>
  <conditionalFormatting sqref="N5:N42">
    <cfRule type="colorScale" priority="2">
      <colorScale>
        <cfvo type="num" val="17"/>
        <cfvo type="num" val="18"/>
        <color rgb="FFFF0000"/>
        <color rgb="FF92D050"/>
      </colorScale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6" activeCellId="0" sqref="D26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6.71"/>
    <col collapsed="false" customWidth="true" hidden="false" outlineLevel="0" max="3" min="3" style="0" width="26.86"/>
    <col collapsed="false" customWidth="true" hidden="false" outlineLevel="0" max="4" min="4" style="0" width="9"/>
    <col collapsed="false" customWidth="true" hidden="false" outlineLevel="0" max="5" min="5" style="0" width="14.71"/>
    <col collapsed="false" customWidth="true" hidden="false" outlineLevel="0" max="6" min="6" style="0" width="6.43"/>
    <col collapsed="false" customWidth="true" hidden="false" outlineLevel="0" max="7" min="7" style="0" width="11.86"/>
    <col collapsed="false" customWidth="true" hidden="false" outlineLevel="0" max="8" min="8" style="0" width="12.72"/>
    <col collapsed="false" customWidth="true" hidden="false" outlineLevel="0" max="9" min="9" style="0" width="7.15"/>
    <col collapsed="false" customWidth="true" hidden="false" outlineLevel="0" max="10" min="10" style="0" width="5"/>
    <col collapsed="false" customWidth="true" hidden="false" outlineLevel="0" max="11" min="11" style="0" width="5.29"/>
    <col collapsed="false" customWidth="true" hidden="false" outlineLevel="0" max="12" min="12" style="0" width="16.72"/>
    <col collapsed="false" customWidth="true" hidden="false" outlineLevel="0" max="14" min="14" style="0" width="5.86"/>
    <col collapsed="false" customWidth="true" hidden="false" outlineLevel="0" max="15" min="15" style="0" width="6.29"/>
  </cols>
  <sheetData>
    <row r="1" customFormat="false" ht="15" hidden="false" customHeight="false" outlineLevel="0" collapsed="false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customFormat="false" ht="15" hidden="false" customHeight="false" outlineLevel="0" collapsed="false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customFormat="false" ht="15" hidden="false" customHeight="false" outlineLevel="0" collapsed="false">
      <c r="A3" s="19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20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16</v>
      </c>
    </row>
    <row r="4" customFormat="false" ht="15" hidden="false" customHeight="false" outlineLevel="0" collapsed="false">
      <c r="A4" s="21"/>
      <c r="B4" s="2"/>
      <c r="C4" s="6" t="s">
        <v>840</v>
      </c>
      <c r="D4" s="7"/>
      <c r="E4" s="2"/>
      <c r="F4" s="2"/>
      <c r="G4" s="2"/>
      <c r="H4" s="2"/>
      <c r="I4" s="2"/>
      <c r="J4" s="2"/>
      <c r="K4" s="2"/>
      <c r="L4" s="8"/>
      <c r="M4" s="22"/>
      <c r="N4" s="6"/>
      <c r="O4" s="6"/>
    </row>
    <row r="5" customFormat="false" ht="15" hidden="false" customHeight="false" outlineLevel="0" collapsed="false">
      <c r="A5" s="23" t="n">
        <v>1</v>
      </c>
      <c r="B5" s="10" t="n">
        <v>807950</v>
      </c>
      <c r="C5" s="11" t="s">
        <v>841</v>
      </c>
      <c r="D5" s="12" t="n">
        <v>34428</v>
      </c>
      <c r="E5" s="11" t="s">
        <v>842</v>
      </c>
      <c r="F5" s="11" t="s">
        <v>19</v>
      </c>
      <c r="G5" s="11" t="s">
        <v>843</v>
      </c>
      <c r="H5" s="11" t="s">
        <v>844</v>
      </c>
      <c r="I5" s="11" t="n">
        <v>3682611</v>
      </c>
      <c r="J5" s="11" t="n">
        <v>40</v>
      </c>
      <c r="K5" s="11" t="s">
        <v>22</v>
      </c>
      <c r="L5" s="11" t="s">
        <v>153</v>
      </c>
      <c r="M5" s="24" t="n">
        <v>45728</v>
      </c>
      <c r="N5" s="25" t="n">
        <f aca="false">INT((M5-D5)/365.25)</f>
        <v>30</v>
      </c>
      <c r="O5" s="12" t="s">
        <v>22</v>
      </c>
    </row>
  </sheetData>
  <mergeCells count="1">
    <mergeCell ref="A1:O2"/>
  </mergeCells>
  <conditionalFormatting sqref="N5">
    <cfRule type="colorScale" priority="2">
      <colorScale>
        <cfvo type="num" val="17"/>
        <cfvo type="num" val="18"/>
        <color rgb="FFFF0000"/>
        <color rgb="FF92D050"/>
      </colorScale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6.14"/>
    <col collapsed="false" customWidth="true" hidden="false" outlineLevel="0" max="3" min="3" style="0" width="32.57"/>
    <col collapsed="false" customWidth="true" hidden="false" outlineLevel="0" max="4" min="4" style="0" width="9"/>
    <col collapsed="false" customWidth="true" hidden="false" outlineLevel="0" max="5" min="5" style="0" width="16.86"/>
    <col collapsed="false" customWidth="true" hidden="false" outlineLevel="0" max="6" min="6" style="0" width="6.43"/>
    <col collapsed="false" customWidth="true" hidden="false" outlineLevel="0" max="7" min="7" style="0" width="11.86"/>
    <col collapsed="false" customWidth="true" hidden="false" outlineLevel="0" max="8" min="8" style="0" width="12.72"/>
    <col collapsed="false" customWidth="true" hidden="false" outlineLevel="0" max="9" min="9" style="0" width="9.57"/>
    <col collapsed="false" customWidth="true" hidden="false" outlineLevel="0" max="10" min="10" style="0" width="5"/>
    <col collapsed="false" customWidth="true" hidden="false" outlineLevel="0" max="11" min="11" style="0" width="5.29"/>
    <col collapsed="false" customWidth="true" hidden="false" outlineLevel="0" max="12" min="12" style="0" width="17"/>
    <col collapsed="false" customWidth="true" hidden="false" outlineLevel="0" max="13" min="13" style="0" width="9.29"/>
    <col collapsed="false" customWidth="true" hidden="false" outlineLevel="0" max="14" min="14" style="0" width="4.57"/>
    <col collapsed="false" customWidth="true" hidden="false" outlineLevel="0" max="15" min="15" style="0" width="6.29"/>
  </cols>
  <sheetData>
    <row r="1" customFormat="false" ht="15" hidden="false" customHeight="false" outlineLevel="0" collapsed="false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customFormat="false" ht="15" hidden="false" customHeight="false" outlineLevel="0" collapsed="false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customFormat="false" ht="15" hidden="false" customHeight="false" outlineLevel="0" collapsed="false">
      <c r="A3" s="19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20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16</v>
      </c>
    </row>
    <row r="4" customFormat="false" ht="15" hidden="false" customHeight="false" outlineLevel="0" collapsed="false">
      <c r="A4" s="21"/>
      <c r="B4" s="2"/>
      <c r="C4" s="6" t="s">
        <v>845</v>
      </c>
      <c r="D4" s="7"/>
      <c r="E4" s="2"/>
      <c r="F4" s="2"/>
      <c r="G4" s="2"/>
      <c r="H4" s="2"/>
      <c r="I4" s="2"/>
      <c r="J4" s="2"/>
      <c r="K4" s="2"/>
      <c r="L4" s="8"/>
      <c r="M4" s="22"/>
      <c r="N4" s="6"/>
      <c r="O4" s="6"/>
    </row>
    <row r="5" customFormat="false" ht="15" hidden="false" customHeight="false" outlineLevel="0" collapsed="false">
      <c r="A5" s="23" t="n">
        <v>1</v>
      </c>
      <c r="B5" s="10" t="n">
        <v>828208</v>
      </c>
      <c r="C5" s="17" t="s">
        <v>846</v>
      </c>
      <c r="D5" s="12" t="n">
        <v>28435</v>
      </c>
      <c r="E5" s="11" t="s">
        <v>847</v>
      </c>
      <c r="F5" s="11" t="s">
        <v>138</v>
      </c>
      <c r="G5" s="11" t="s">
        <v>848</v>
      </c>
      <c r="H5" s="11" t="s">
        <v>849</v>
      </c>
      <c r="I5" s="11" t="n">
        <v>4092219</v>
      </c>
      <c r="J5" s="11" t="n">
        <v>40</v>
      </c>
      <c r="K5" s="11" t="s">
        <v>22</v>
      </c>
      <c r="L5" s="11" t="s">
        <v>153</v>
      </c>
      <c r="M5" s="24" t="n">
        <v>45728</v>
      </c>
      <c r="N5" s="25" t="n">
        <f aca="false">INT((M5-D5)/365.25)</f>
        <v>47</v>
      </c>
      <c r="O5" s="12" t="s">
        <v>22</v>
      </c>
    </row>
    <row r="6" customFormat="false" ht="15" hidden="false" customHeight="false" outlineLevel="0" collapsed="false">
      <c r="A6" s="23" t="n">
        <v>2</v>
      </c>
      <c r="B6" s="10" t="n">
        <v>867474</v>
      </c>
      <c r="C6" s="17" t="s">
        <v>850</v>
      </c>
      <c r="D6" s="12" t="n">
        <v>30627</v>
      </c>
      <c r="E6" s="11" t="s">
        <v>847</v>
      </c>
      <c r="F6" s="11" t="s">
        <v>138</v>
      </c>
      <c r="G6" s="11" t="s">
        <v>851</v>
      </c>
      <c r="H6" s="11" t="n">
        <v>1336452587</v>
      </c>
      <c r="I6" s="11" t="n">
        <v>6147393</v>
      </c>
      <c r="J6" s="11" t="n">
        <v>50</v>
      </c>
      <c r="K6" s="11" t="s">
        <v>22</v>
      </c>
      <c r="L6" s="11" t="s">
        <v>153</v>
      </c>
      <c r="M6" s="24" t="n">
        <v>45728</v>
      </c>
      <c r="N6" s="25" t="n">
        <f aca="false">INT((M6-D6)/365.25)</f>
        <v>41</v>
      </c>
      <c r="O6" s="12" t="s">
        <v>22</v>
      </c>
    </row>
    <row r="7" customFormat="false" ht="15" hidden="false" customHeight="false" outlineLevel="0" collapsed="false">
      <c r="A7" s="23" t="n">
        <v>3</v>
      </c>
      <c r="B7" s="10" t="n">
        <v>814128</v>
      </c>
      <c r="C7" s="17" t="s">
        <v>852</v>
      </c>
      <c r="D7" s="12" t="n">
        <v>33527</v>
      </c>
      <c r="E7" s="11" t="s">
        <v>847</v>
      </c>
      <c r="F7" s="11" t="s">
        <v>138</v>
      </c>
      <c r="G7" s="11" t="s">
        <v>853</v>
      </c>
      <c r="H7" s="11" t="s">
        <v>854</v>
      </c>
      <c r="I7" s="11" t="n">
        <v>5487381</v>
      </c>
      <c r="J7" s="11" t="n">
        <v>30</v>
      </c>
      <c r="K7" s="11" t="s">
        <v>22</v>
      </c>
      <c r="L7" s="11" t="s">
        <v>153</v>
      </c>
      <c r="M7" s="24" t="n">
        <v>45728</v>
      </c>
      <c r="N7" s="25" t="n">
        <f aca="false">INT((M7-D7)/365.25)</f>
        <v>33</v>
      </c>
      <c r="O7" s="12" t="s">
        <v>22</v>
      </c>
    </row>
    <row r="8" customFormat="false" ht="15" hidden="false" customHeight="false" outlineLevel="0" collapsed="false">
      <c r="A8" s="23" t="n">
        <v>4</v>
      </c>
      <c r="B8" s="10" t="n">
        <v>739130</v>
      </c>
      <c r="C8" s="17" t="s">
        <v>855</v>
      </c>
      <c r="D8" s="12" t="n">
        <v>29369</v>
      </c>
      <c r="E8" s="11" t="s">
        <v>847</v>
      </c>
      <c r="F8" s="11" t="s">
        <v>138</v>
      </c>
      <c r="G8" s="11" t="s">
        <v>856</v>
      </c>
      <c r="H8" s="11" t="s">
        <v>857</v>
      </c>
      <c r="I8" s="11" t="n">
        <v>389489</v>
      </c>
      <c r="J8" s="11" t="n">
        <v>9565</v>
      </c>
      <c r="K8" s="11" t="s">
        <v>22</v>
      </c>
      <c r="L8" s="11" t="s">
        <v>153</v>
      </c>
      <c r="M8" s="24" t="n">
        <v>45728</v>
      </c>
      <c r="N8" s="25" t="n">
        <f aca="false">INT((M8-D8)/365.25)</f>
        <v>44</v>
      </c>
      <c r="O8" s="12" t="s">
        <v>22</v>
      </c>
    </row>
    <row r="9" customFormat="false" ht="15" hidden="false" customHeight="false" outlineLevel="0" collapsed="false">
      <c r="A9" s="23" t="n">
        <v>5</v>
      </c>
      <c r="B9" s="10" t="n">
        <v>867480</v>
      </c>
      <c r="C9" s="17" t="s">
        <v>858</v>
      </c>
      <c r="D9" s="12" t="n">
        <v>38654</v>
      </c>
      <c r="E9" s="11" t="s">
        <v>847</v>
      </c>
      <c r="F9" s="11" t="s">
        <v>138</v>
      </c>
      <c r="G9" s="11" t="s">
        <v>859</v>
      </c>
      <c r="H9" s="11" t="n">
        <v>2406053571</v>
      </c>
      <c r="I9" s="11" t="n">
        <v>1245504</v>
      </c>
      <c r="J9" s="11" t="n">
        <v>3550</v>
      </c>
      <c r="K9" s="11" t="s">
        <v>22</v>
      </c>
      <c r="L9" s="11" t="s">
        <v>153</v>
      </c>
      <c r="M9" s="24" t="n">
        <v>45728</v>
      </c>
      <c r="N9" s="25" t="n">
        <f aca="false">INT((M9-D9)/365.25)</f>
        <v>19</v>
      </c>
      <c r="O9" s="12" t="s">
        <v>22</v>
      </c>
    </row>
    <row r="10" customFormat="false" ht="15" hidden="false" customHeight="false" outlineLevel="0" collapsed="false">
      <c r="A10" s="23" t="n">
        <v>6</v>
      </c>
      <c r="B10" s="10" t="n">
        <v>819679</v>
      </c>
      <c r="C10" s="17" t="s">
        <v>860</v>
      </c>
      <c r="D10" s="12" t="n">
        <v>27707</v>
      </c>
      <c r="E10" s="11" t="s">
        <v>847</v>
      </c>
      <c r="F10" s="11" t="s">
        <v>138</v>
      </c>
      <c r="G10" s="11" t="s">
        <v>861</v>
      </c>
      <c r="H10" s="11" t="s">
        <v>862</v>
      </c>
      <c r="I10" s="11" t="n">
        <v>8914636</v>
      </c>
      <c r="J10" s="11" t="n">
        <v>549</v>
      </c>
      <c r="K10" s="11" t="s">
        <v>30</v>
      </c>
      <c r="L10" s="11" t="s">
        <v>153</v>
      </c>
      <c r="M10" s="24" t="n">
        <v>45728</v>
      </c>
      <c r="N10" s="25" t="n">
        <f aca="false">INT((M10-D10)/365.25)</f>
        <v>49</v>
      </c>
      <c r="O10" s="12" t="s">
        <v>22</v>
      </c>
    </row>
    <row r="11" customFormat="false" ht="15" hidden="false" customHeight="false" outlineLevel="0" collapsed="false">
      <c r="A11" s="23" t="n">
        <v>7</v>
      </c>
      <c r="B11" s="10" t="n">
        <v>739140</v>
      </c>
      <c r="C11" s="17" t="s">
        <v>863</v>
      </c>
      <c r="D11" s="12" t="n">
        <v>30997</v>
      </c>
      <c r="E11" s="11" t="s">
        <v>847</v>
      </c>
      <c r="F11" s="11" t="s">
        <v>138</v>
      </c>
      <c r="G11" s="11" t="s">
        <v>864</v>
      </c>
      <c r="H11" s="11" t="s">
        <v>865</v>
      </c>
      <c r="I11" s="11" t="n">
        <v>272665</v>
      </c>
      <c r="J11" s="11" t="n">
        <v>8512</v>
      </c>
      <c r="K11" s="11" t="s">
        <v>22</v>
      </c>
      <c r="L11" s="11" t="s">
        <v>153</v>
      </c>
      <c r="M11" s="24" t="n">
        <v>45728</v>
      </c>
      <c r="N11" s="25" t="n">
        <f aca="false">INT((M11-D11)/365.25)</f>
        <v>40</v>
      </c>
      <c r="O11" s="12" t="s">
        <v>22</v>
      </c>
    </row>
    <row r="12" customFormat="false" ht="15" hidden="false" customHeight="false" outlineLevel="0" collapsed="false">
      <c r="A12" s="23" t="n">
        <v>8</v>
      </c>
      <c r="B12" s="10" t="n">
        <v>819365</v>
      </c>
      <c r="C12" s="17" t="s">
        <v>866</v>
      </c>
      <c r="D12" s="12" t="n">
        <v>35826</v>
      </c>
      <c r="E12" s="11" t="s">
        <v>867</v>
      </c>
      <c r="F12" s="11" t="s">
        <v>138</v>
      </c>
      <c r="G12" s="11" t="s">
        <v>868</v>
      </c>
      <c r="H12" s="11" t="s">
        <v>869</v>
      </c>
      <c r="I12" s="11" t="n">
        <v>7796329</v>
      </c>
      <c r="J12" s="11" t="n">
        <v>40</v>
      </c>
      <c r="K12" s="11" t="s">
        <v>22</v>
      </c>
      <c r="L12" s="11" t="s">
        <v>153</v>
      </c>
      <c r="M12" s="24" t="n">
        <v>45728</v>
      </c>
      <c r="N12" s="25" t="n">
        <f aca="false">INT((M12-D12)/365.25)</f>
        <v>27</v>
      </c>
      <c r="O12" s="12" t="s">
        <v>22</v>
      </c>
    </row>
    <row r="13" customFormat="false" ht="15" hidden="false" customHeight="false" outlineLevel="0" collapsed="false">
      <c r="A13" s="23" t="n">
        <v>9</v>
      </c>
      <c r="B13" s="10" t="n">
        <v>867483</v>
      </c>
      <c r="C13" s="17" t="s">
        <v>870</v>
      </c>
      <c r="D13" s="12" t="n">
        <v>38576</v>
      </c>
      <c r="E13" s="11" t="s">
        <v>867</v>
      </c>
      <c r="F13" s="11" t="s">
        <v>138</v>
      </c>
      <c r="G13" s="11" t="s">
        <v>871</v>
      </c>
      <c r="H13" s="11" t="s">
        <v>872</v>
      </c>
      <c r="I13" s="11" t="n">
        <v>1132043</v>
      </c>
      <c r="J13" s="11" t="n">
        <v>9560</v>
      </c>
      <c r="K13" s="11" t="s">
        <v>22</v>
      </c>
      <c r="L13" s="11" t="s">
        <v>153</v>
      </c>
      <c r="M13" s="24" t="n">
        <v>45728</v>
      </c>
      <c r="N13" s="25" t="n">
        <f aca="false">INT((M13-D13)/365.25)</f>
        <v>19</v>
      </c>
      <c r="O13" s="12" t="s">
        <v>22</v>
      </c>
    </row>
    <row r="14" customFormat="false" ht="15" hidden="false" customHeight="false" outlineLevel="0" collapsed="false">
      <c r="A14" s="23" t="n">
        <v>10</v>
      </c>
      <c r="B14" s="10" t="n">
        <v>760475</v>
      </c>
      <c r="C14" s="17" t="s">
        <v>873</v>
      </c>
      <c r="D14" s="12" t="n">
        <v>31675</v>
      </c>
      <c r="E14" s="11" t="s">
        <v>867</v>
      </c>
      <c r="F14" s="11" t="s">
        <v>138</v>
      </c>
      <c r="G14" s="11" t="s">
        <v>874</v>
      </c>
      <c r="H14" s="11" t="n">
        <v>1499031114</v>
      </c>
      <c r="I14" s="11" t="n">
        <v>45630</v>
      </c>
      <c r="J14" s="11" t="n">
        <v>326</v>
      </c>
      <c r="K14" s="11" t="s">
        <v>22</v>
      </c>
      <c r="L14" s="11" t="s">
        <v>153</v>
      </c>
      <c r="M14" s="24" t="n">
        <v>45728</v>
      </c>
      <c r="N14" s="25" t="n">
        <f aca="false">INT((M14-D14)/365.25)</f>
        <v>38</v>
      </c>
      <c r="O14" s="12" t="s">
        <v>22</v>
      </c>
    </row>
    <row r="15" customFormat="false" ht="15" hidden="false" customHeight="false" outlineLevel="0" collapsed="false">
      <c r="A15" s="23" t="n">
        <v>11</v>
      </c>
      <c r="B15" s="10" t="n">
        <v>849891</v>
      </c>
      <c r="C15" s="17" t="s">
        <v>875</v>
      </c>
      <c r="D15" s="12" t="n">
        <v>35787</v>
      </c>
      <c r="E15" s="11" t="s">
        <v>867</v>
      </c>
      <c r="F15" s="11" t="s">
        <v>138</v>
      </c>
      <c r="G15" s="11" t="s">
        <v>876</v>
      </c>
      <c r="H15" s="11" t="s">
        <v>877</v>
      </c>
      <c r="I15" s="11" t="n">
        <v>114535</v>
      </c>
      <c r="J15" s="11" t="n">
        <v>300</v>
      </c>
      <c r="K15" s="11" t="s">
        <v>30</v>
      </c>
      <c r="L15" s="11" t="s">
        <v>153</v>
      </c>
      <c r="M15" s="24" t="n">
        <v>45728</v>
      </c>
      <c r="N15" s="25" t="n">
        <f aca="false">INT((M15-D15)/365.25)</f>
        <v>27</v>
      </c>
      <c r="O15" s="12" t="s">
        <v>22</v>
      </c>
    </row>
    <row r="16" customFormat="false" ht="15" hidden="false" customHeight="false" outlineLevel="0" collapsed="false">
      <c r="A16" s="23" t="n">
        <v>12</v>
      </c>
      <c r="B16" s="10" t="n">
        <v>867490</v>
      </c>
      <c r="C16" s="17" t="s">
        <v>878</v>
      </c>
      <c r="D16" s="12" t="n">
        <v>38713</v>
      </c>
      <c r="E16" s="11" t="s">
        <v>867</v>
      </c>
      <c r="F16" s="11" t="s">
        <v>138</v>
      </c>
      <c r="G16" s="11" t="s">
        <v>879</v>
      </c>
      <c r="H16" s="11" t="s">
        <v>880</v>
      </c>
      <c r="I16" s="11" t="n">
        <v>1179396</v>
      </c>
      <c r="J16" s="11" t="n">
        <v>5536</v>
      </c>
      <c r="K16" s="11" t="s">
        <v>22</v>
      </c>
      <c r="L16" s="11" t="s">
        <v>153</v>
      </c>
      <c r="M16" s="24" t="n">
        <v>45728</v>
      </c>
      <c r="N16" s="25" t="n">
        <f aca="false">INT((M16-D16)/365.25)</f>
        <v>19</v>
      </c>
      <c r="O16" s="12" t="s">
        <v>22</v>
      </c>
    </row>
    <row r="17" customFormat="false" ht="15" hidden="false" customHeight="false" outlineLevel="0" collapsed="false">
      <c r="A17" s="23" t="n">
        <v>13</v>
      </c>
      <c r="B17" s="10" t="n">
        <v>794860</v>
      </c>
      <c r="C17" s="17" t="s">
        <v>881</v>
      </c>
      <c r="D17" s="12" t="n">
        <v>32218</v>
      </c>
      <c r="E17" s="11" t="s">
        <v>867</v>
      </c>
      <c r="F17" s="11" t="s">
        <v>138</v>
      </c>
      <c r="G17" s="11" t="s">
        <v>882</v>
      </c>
      <c r="H17" s="11" t="n">
        <v>1513301314</v>
      </c>
      <c r="I17" s="11" t="n">
        <v>490574</v>
      </c>
      <c r="J17" s="11" t="n">
        <v>7503</v>
      </c>
      <c r="K17" s="11" t="s">
        <v>22</v>
      </c>
      <c r="L17" s="11" t="s">
        <v>153</v>
      </c>
      <c r="M17" s="24" t="n">
        <v>45728</v>
      </c>
      <c r="N17" s="25" t="n">
        <f aca="false">INT((M17-D17)/365.25)</f>
        <v>36</v>
      </c>
      <c r="O17" s="12" t="s">
        <v>22</v>
      </c>
    </row>
    <row r="18" customFormat="false" ht="15" hidden="false" customHeight="false" outlineLevel="0" collapsed="false">
      <c r="A18" s="23" t="n">
        <v>14</v>
      </c>
      <c r="B18" s="10" t="n">
        <v>818078</v>
      </c>
      <c r="C18" s="17" t="s">
        <v>883</v>
      </c>
      <c r="D18" s="12" t="n">
        <v>35937</v>
      </c>
      <c r="E18" s="11" t="s">
        <v>884</v>
      </c>
      <c r="F18" s="11" t="s">
        <v>138</v>
      </c>
      <c r="G18" s="11" t="s">
        <v>885</v>
      </c>
      <c r="H18" s="11" t="n">
        <v>647329062</v>
      </c>
      <c r="I18" s="11" t="n">
        <v>879631</v>
      </c>
      <c r="J18" s="11" t="n">
        <v>6519</v>
      </c>
      <c r="K18" s="11" t="s">
        <v>22</v>
      </c>
      <c r="L18" s="11" t="s">
        <v>153</v>
      </c>
      <c r="M18" s="24" t="n">
        <v>45728</v>
      </c>
      <c r="N18" s="25" t="n">
        <f aca="false">INT((M18-D18)/365.25)</f>
        <v>26</v>
      </c>
      <c r="O18" s="12" t="s">
        <v>22</v>
      </c>
    </row>
    <row r="19" customFormat="false" ht="15" hidden="false" customHeight="false" outlineLevel="0" collapsed="false">
      <c r="A19" s="23" t="n">
        <v>15</v>
      </c>
      <c r="B19" s="10" t="n">
        <v>819577</v>
      </c>
      <c r="C19" s="17" t="s">
        <v>886</v>
      </c>
      <c r="D19" s="12" t="n">
        <v>33825</v>
      </c>
      <c r="E19" s="11" t="s">
        <v>884</v>
      </c>
      <c r="F19" s="11" t="s">
        <v>138</v>
      </c>
      <c r="G19" s="11" t="s">
        <v>887</v>
      </c>
      <c r="H19" s="11" t="n">
        <v>2080474090</v>
      </c>
      <c r="I19" s="11" t="n">
        <v>9979</v>
      </c>
      <c r="J19" s="11" t="n">
        <v>411</v>
      </c>
      <c r="K19" s="11" t="s">
        <v>22</v>
      </c>
      <c r="L19" s="11" t="s">
        <v>153</v>
      </c>
      <c r="M19" s="24" t="n">
        <v>45728</v>
      </c>
      <c r="N19" s="25" t="n">
        <f aca="false">INT((M19-D19)/365.25)</f>
        <v>32</v>
      </c>
      <c r="O19" s="12" t="s">
        <v>22</v>
      </c>
    </row>
    <row r="20" customFormat="false" ht="15" hidden="false" customHeight="false" outlineLevel="0" collapsed="false">
      <c r="A20" s="23" t="n">
        <v>16</v>
      </c>
      <c r="B20" s="10" t="n">
        <v>867496</v>
      </c>
      <c r="C20" s="17" t="s">
        <v>888</v>
      </c>
      <c r="D20" s="12" t="n">
        <v>37681</v>
      </c>
      <c r="E20" s="11" t="s">
        <v>884</v>
      </c>
      <c r="F20" s="11" t="s">
        <v>138</v>
      </c>
      <c r="G20" s="11" t="s">
        <v>889</v>
      </c>
      <c r="H20" s="11" t="s">
        <v>890</v>
      </c>
      <c r="I20" s="11" t="n">
        <v>1175707</v>
      </c>
      <c r="J20" s="11" t="n">
        <v>1555</v>
      </c>
      <c r="K20" s="11" t="s">
        <v>22</v>
      </c>
      <c r="L20" s="11" t="s">
        <v>153</v>
      </c>
      <c r="M20" s="24" t="n">
        <v>45728</v>
      </c>
      <c r="N20" s="25" t="n">
        <f aca="false">INT((M20-D20)/365.25)</f>
        <v>22</v>
      </c>
      <c r="O20" s="12" t="s">
        <v>22</v>
      </c>
    </row>
    <row r="21" customFormat="false" ht="15" hidden="false" customHeight="false" outlineLevel="0" collapsed="false">
      <c r="A21" s="23" t="n">
        <v>17</v>
      </c>
      <c r="B21" s="10" t="n">
        <v>806823</v>
      </c>
      <c r="C21" s="17" t="s">
        <v>891</v>
      </c>
      <c r="D21" s="12" t="n">
        <v>33580</v>
      </c>
      <c r="E21" s="11" t="s">
        <v>884</v>
      </c>
      <c r="F21" s="11" t="s">
        <v>138</v>
      </c>
      <c r="G21" s="11" t="s">
        <v>892</v>
      </c>
      <c r="H21" s="11" t="s">
        <v>893</v>
      </c>
      <c r="I21" s="11" t="n">
        <v>8696181</v>
      </c>
      <c r="J21" s="11" t="n">
        <v>40</v>
      </c>
      <c r="K21" s="11" t="s">
        <v>22</v>
      </c>
      <c r="L21" s="11" t="s">
        <v>153</v>
      </c>
      <c r="M21" s="24" t="n">
        <v>45728</v>
      </c>
      <c r="N21" s="25" t="n">
        <f aca="false">INT((M21-D21)/365.25)</f>
        <v>33</v>
      </c>
      <c r="O21" s="12" t="s">
        <v>22</v>
      </c>
    </row>
    <row r="22" customFormat="false" ht="15" hidden="false" customHeight="false" outlineLevel="0" collapsed="false">
      <c r="A22" s="23" t="n">
        <v>18</v>
      </c>
      <c r="B22" s="10" t="n">
        <v>806832</v>
      </c>
      <c r="C22" s="17" t="s">
        <v>894</v>
      </c>
      <c r="D22" s="12" t="n">
        <v>36802</v>
      </c>
      <c r="E22" s="11" t="s">
        <v>884</v>
      </c>
      <c r="F22" s="11" t="s">
        <v>138</v>
      </c>
      <c r="G22" s="11" t="s">
        <v>895</v>
      </c>
      <c r="H22" s="11" t="s">
        <v>896</v>
      </c>
      <c r="I22" s="11" t="n">
        <v>4428689</v>
      </c>
      <c r="J22" s="11" t="n">
        <v>60</v>
      </c>
      <c r="K22" s="11" t="s">
        <v>22</v>
      </c>
      <c r="L22" s="11" t="s">
        <v>153</v>
      </c>
      <c r="M22" s="24" t="n">
        <v>45728</v>
      </c>
      <c r="N22" s="25" t="n">
        <f aca="false">INT((M22-D22)/365.25)</f>
        <v>24</v>
      </c>
      <c r="O22" s="12" t="s">
        <v>22</v>
      </c>
    </row>
    <row r="23" customFormat="false" ht="15" hidden="false" customHeight="false" outlineLevel="0" collapsed="false">
      <c r="A23" s="23" t="n">
        <v>19</v>
      </c>
      <c r="B23" s="10" t="n">
        <v>867550</v>
      </c>
      <c r="C23" s="17" t="s">
        <v>897</v>
      </c>
      <c r="D23" s="12" t="n">
        <v>36674</v>
      </c>
      <c r="E23" s="11" t="s">
        <v>884</v>
      </c>
      <c r="F23" s="11" t="s">
        <v>138</v>
      </c>
      <c r="G23" s="11" t="s">
        <v>898</v>
      </c>
      <c r="H23" s="11" t="s">
        <v>899</v>
      </c>
      <c r="I23" s="11" t="n">
        <v>948373</v>
      </c>
      <c r="J23" s="11" t="n">
        <v>3502</v>
      </c>
      <c r="K23" s="11" t="s">
        <v>22</v>
      </c>
      <c r="L23" s="11" t="s">
        <v>153</v>
      </c>
      <c r="M23" s="24" t="n">
        <v>45728</v>
      </c>
      <c r="N23" s="25" t="n">
        <f aca="false">INT((M23-D23)/365.25)</f>
        <v>24</v>
      </c>
      <c r="O23" s="12" t="s">
        <v>22</v>
      </c>
    </row>
    <row r="24" customFormat="false" ht="15" hidden="false" customHeight="false" outlineLevel="0" collapsed="false">
      <c r="A24" s="23" t="n">
        <v>20</v>
      </c>
      <c r="B24" s="10" t="n">
        <v>867553</v>
      </c>
      <c r="C24" s="17" t="s">
        <v>900</v>
      </c>
      <c r="D24" s="12" t="n">
        <v>36268</v>
      </c>
      <c r="E24" s="11" t="s">
        <v>884</v>
      </c>
      <c r="F24" s="11" t="s">
        <v>138</v>
      </c>
      <c r="G24" s="11" t="s">
        <v>901</v>
      </c>
      <c r="H24" s="11" t="n">
        <v>2190207282</v>
      </c>
      <c r="I24" s="11" t="n">
        <v>6144813</v>
      </c>
      <c r="J24" s="11" t="n">
        <v>50</v>
      </c>
      <c r="K24" s="11" t="s">
        <v>22</v>
      </c>
      <c r="L24" s="11" t="s">
        <v>153</v>
      </c>
      <c r="M24" s="24" t="n">
        <v>45728</v>
      </c>
      <c r="N24" s="25" t="n">
        <f aca="false">INT((M24-D24)/365.25)</f>
        <v>25</v>
      </c>
      <c r="O24" s="12" t="s">
        <v>22</v>
      </c>
    </row>
    <row r="25" customFormat="false" ht="15" hidden="false" customHeight="false" outlineLevel="0" collapsed="false">
      <c r="A25" s="23" t="n">
        <v>21</v>
      </c>
      <c r="B25" s="10" t="n">
        <v>867582</v>
      </c>
      <c r="C25" s="17" t="s">
        <v>902</v>
      </c>
      <c r="D25" s="12" t="n">
        <v>35078</v>
      </c>
      <c r="E25" s="11" t="s">
        <v>884</v>
      </c>
      <c r="F25" s="11" t="s">
        <v>138</v>
      </c>
      <c r="G25" s="11" t="s">
        <v>903</v>
      </c>
      <c r="H25" s="11" t="s">
        <v>904</v>
      </c>
      <c r="I25" s="11" t="n">
        <v>722009</v>
      </c>
      <c r="J25" s="11" t="n">
        <v>9509</v>
      </c>
      <c r="K25" s="11" t="s">
        <v>22</v>
      </c>
      <c r="L25" s="11" t="s">
        <v>153</v>
      </c>
      <c r="M25" s="24" t="n">
        <v>45728</v>
      </c>
      <c r="N25" s="25" t="n">
        <f aca="false">INT((M25-D25)/365.25)</f>
        <v>29</v>
      </c>
      <c r="O25" s="12" t="s">
        <v>22</v>
      </c>
    </row>
    <row r="26" customFormat="false" ht="15" hidden="false" customHeight="false" outlineLevel="0" collapsed="false">
      <c r="A26" s="23" t="n">
        <v>22</v>
      </c>
      <c r="B26" s="10" t="n">
        <v>867585</v>
      </c>
      <c r="C26" s="17" t="s">
        <v>905</v>
      </c>
      <c r="D26" s="12" t="n">
        <v>30629</v>
      </c>
      <c r="E26" s="11" t="s">
        <v>884</v>
      </c>
      <c r="F26" s="11" t="s">
        <v>138</v>
      </c>
      <c r="G26" s="11" t="s">
        <v>906</v>
      </c>
      <c r="H26" s="11" t="s">
        <v>907</v>
      </c>
      <c r="I26" s="11" t="n">
        <v>97401</v>
      </c>
      <c r="J26" s="11" t="n">
        <v>79</v>
      </c>
      <c r="K26" s="11" t="s">
        <v>22</v>
      </c>
      <c r="L26" s="11" t="s">
        <v>153</v>
      </c>
      <c r="M26" s="24" t="n">
        <v>45728</v>
      </c>
      <c r="N26" s="25" t="n">
        <f aca="false">INT((M26-D26)/365.25)</f>
        <v>41</v>
      </c>
      <c r="O26" s="12" t="s">
        <v>22</v>
      </c>
    </row>
    <row r="27" customFormat="false" ht="15" hidden="false" customHeight="false" outlineLevel="0" collapsed="false">
      <c r="A27" s="23" t="n">
        <v>23</v>
      </c>
      <c r="B27" s="10" t="n">
        <v>867643</v>
      </c>
      <c r="C27" s="17" t="s">
        <v>908</v>
      </c>
      <c r="D27" s="12" t="n">
        <v>31280</v>
      </c>
      <c r="E27" s="11" t="s">
        <v>884</v>
      </c>
      <c r="F27" s="11" t="s">
        <v>138</v>
      </c>
      <c r="G27" s="11" t="s">
        <v>909</v>
      </c>
      <c r="H27" s="11" t="n">
        <v>1512818585</v>
      </c>
      <c r="I27" s="11" t="n">
        <v>450400</v>
      </c>
      <c r="J27" s="11" t="n">
        <v>2558</v>
      </c>
      <c r="K27" s="11" t="s">
        <v>22</v>
      </c>
      <c r="L27" s="11" t="s">
        <v>153</v>
      </c>
      <c r="M27" s="24" t="n">
        <v>45728</v>
      </c>
      <c r="N27" s="25" t="n">
        <f aca="false">INT((M27-D27)/365.25)</f>
        <v>39</v>
      </c>
      <c r="O27" s="12" t="s">
        <v>22</v>
      </c>
    </row>
    <row r="28" customFormat="false" ht="15" hidden="false" customHeight="false" outlineLevel="0" collapsed="false">
      <c r="A28" s="23" t="n">
        <v>24</v>
      </c>
      <c r="B28" s="10" t="n">
        <v>867703</v>
      </c>
      <c r="C28" s="17" t="s">
        <v>910</v>
      </c>
      <c r="D28" s="12" t="n">
        <v>38862</v>
      </c>
      <c r="E28" s="11" t="s">
        <v>884</v>
      </c>
      <c r="F28" s="11" t="s">
        <v>138</v>
      </c>
      <c r="G28" s="11" t="s">
        <v>911</v>
      </c>
      <c r="H28" s="11" t="s">
        <v>912</v>
      </c>
      <c r="I28" s="11" t="n">
        <v>1188109</v>
      </c>
      <c r="J28" s="11" t="n">
        <v>3590</v>
      </c>
      <c r="K28" s="11" t="s">
        <v>22</v>
      </c>
      <c r="L28" s="11" t="s">
        <v>153</v>
      </c>
      <c r="M28" s="24" t="n">
        <v>45728</v>
      </c>
      <c r="N28" s="25" t="n">
        <f aca="false">INT((M28-D28)/365.25)</f>
        <v>18</v>
      </c>
      <c r="O28" s="12" t="s">
        <v>22</v>
      </c>
    </row>
    <row r="29" customFormat="false" ht="15" hidden="false" customHeight="false" outlineLevel="0" collapsed="false">
      <c r="A29" s="23" t="n">
        <v>25</v>
      </c>
      <c r="B29" s="10" t="n">
        <v>867704</v>
      </c>
      <c r="C29" s="17" t="s">
        <v>913</v>
      </c>
      <c r="D29" s="12" t="n">
        <v>37186</v>
      </c>
      <c r="E29" s="11" t="s">
        <v>884</v>
      </c>
      <c r="F29" s="11" t="s">
        <v>138</v>
      </c>
      <c r="G29" s="11" t="s">
        <v>914</v>
      </c>
      <c r="H29" s="11" t="s">
        <v>915</v>
      </c>
      <c r="I29" s="11" t="n">
        <v>1177912</v>
      </c>
      <c r="J29" s="11" t="n">
        <v>2527</v>
      </c>
      <c r="K29" s="11" t="s">
        <v>22</v>
      </c>
      <c r="L29" s="11" t="s">
        <v>153</v>
      </c>
      <c r="M29" s="24" t="n">
        <v>45728</v>
      </c>
      <c r="N29" s="25" t="n">
        <f aca="false">INT((M29-D29)/365.25)</f>
        <v>23</v>
      </c>
      <c r="O29" s="12" t="s">
        <v>22</v>
      </c>
    </row>
    <row r="30" customFormat="false" ht="15" hidden="false" customHeight="false" outlineLevel="0" collapsed="false">
      <c r="A30" s="23" t="n">
        <v>26</v>
      </c>
      <c r="B30" s="10" t="n">
        <v>867705</v>
      </c>
      <c r="C30" s="17" t="s">
        <v>916</v>
      </c>
      <c r="D30" s="12" t="n">
        <v>38145</v>
      </c>
      <c r="E30" s="11" t="s">
        <v>884</v>
      </c>
      <c r="F30" s="11" t="s">
        <v>138</v>
      </c>
      <c r="G30" s="11" t="s">
        <v>917</v>
      </c>
      <c r="H30" s="11" t="s">
        <v>918</v>
      </c>
      <c r="I30" s="11" t="n">
        <v>1089392</v>
      </c>
      <c r="J30" s="11" t="n">
        <v>8500</v>
      </c>
      <c r="K30" s="11" t="s">
        <v>30</v>
      </c>
      <c r="L30" s="11" t="s">
        <v>153</v>
      </c>
      <c r="M30" s="24" t="n">
        <v>45728</v>
      </c>
      <c r="N30" s="25" t="n">
        <f aca="false">INT((M30-D30)/365.25)</f>
        <v>20</v>
      </c>
      <c r="O30" s="12" t="s">
        <v>22</v>
      </c>
    </row>
    <row r="31" customFormat="false" ht="15" hidden="false" customHeight="false" outlineLevel="0" collapsed="false">
      <c r="A31" s="38" t="n">
        <v>27</v>
      </c>
      <c r="B31" s="39" t="n">
        <v>806798</v>
      </c>
      <c r="C31" s="17" t="s">
        <v>919</v>
      </c>
      <c r="D31" s="40" t="n">
        <v>29315</v>
      </c>
      <c r="E31" s="17" t="s">
        <v>884</v>
      </c>
      <c r="F31" s="17" t="s">
        <v>138</v>
      </c>
      <c r="G31" s="17" t="s">
        <v>920</v>
      </c>
      <c r="H31" s="17" t="s">
        <v>921</v>
      </c>
      <c r="I31" s="17" t="n">
        <v>8902551</v>
      </c>
      <c r="J31" s="17" t="n">
        <v>30</v>
      </c>
      <c r="K31" s="17" t="s">
        <v>22</v>
      </c>
      <c r="L31" s="17" t="s">
        <v>153</v>
      </c>
      <c r="M31" s="41" t="n">
        <v>45728</v>
      </c>
      <c r="N31" s="42" t="n">
        <f aca="false">INT((M31-D31)/365.25)</f>
        <v>44</v>
      </c>
      <c r="O31" s="40" t="s">
        <v>22</v>
      </c>
    </row>
    <row r="32" customFormat="false" ht="15" hidden="false" customHeight="false" outlineLevel="0" collapsed="false">
      <c r="A32" s="23" t="n">
        <v>28</v>
      </c>
      <c r="B32" s="10" t="n">
        <v>867906</v>
      </c>
      <c r="C32" s="17" t="s">
        <v>922</v>
      </c>
      <c r="D32" s="12" t="n">
        <v>38538</v>
      </c>
      <c r="E32" s="11" t="s">
        <v>884</v>
      </c>
      <c r="F32" s="11" t="s">
        <v>138</v>
      </c>
      <c r="G32" s="11" t="s">
        <v>923</v>
      </c>
      <c r="H32" s="11" t="s">
        <v>924</v>
      </c>
      <c r="I32" s="11" t="n">
        <v>1169683</v>
      </c>
      <c r="J32" s="11" t="n">
        <v>532</v>
      </c>
      <c r="K32" s="11" t="s">
        <v>30</v>
      </c>
      <c r="L32" s="11" t="s">
        <v>153</v>
      </c>
      <c r="M32" s="24" t="n">
        <v>45728</v>
      </c>
      <c r="N32" s="25" t="n">
        <f aca="false">INT((M32-D32)/365.25)</f>
        <v>19</v>
      </c>
      <c r="O32" s="12" t="s">
        <v>22</v>
      </c>
    </row>
  </sheetData>
  <autoFilter ref="C1:C32"/>
  <mergeCells count="1">
    <mergeCell ref="A1:O2"/>
  </mergeCells>
  <conditionalFormatting sqref="N5:N32">
    <cfRule type="colorScale" priority="2">
      <colorScale>
        <cfvo type="num" val="17"/>
        <cfvo type="num" val="18"/>
        <color rgb="FFFF0000"/>
        <color rgb="FF92D050"/>
      </colorScale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6.29"/>
    <col collapsed="false" customWidth="true" hidden="false" outlineLevel="0" max="3" min="3" style="0" width="35.57"/>
    <col collapsed="false" customWidth="true" hidden="false" outlineLevel="0" max="4" min="4" style="0" width="9"/>
    <col collapsed="false" customWidth="true" hidden="false" outlineLevel="0" max="5" min="5" style="0" width="21.71"/>
    <col collapsed="false" customWidth="true" hidden="false" outlineLevel="0" max="6" min="6" style="0" width="6.43"/>
    <col collapsed="false" customWidth="true" hidden="false" outlineLevel="0" max="7" min="7" style="0" width="11.86"/>
    <col collapsed="false" customWidth="true" hidden="false" outlineLevel="0" max="8" min="8" style="0" width="12.72"/>
    <col collapsed="false" customWidth="true" hidden="false" outlineLevel="0" max="9" min="9" style="0" width="9.57"/>
    <col collapsed="false" customWidth="true" hidden="false" outlineLevel="0" max="10" min="10" style="0" width="5"/>
    <col collapsed="false" customWidth="true" hidden="false" outlineLevel="0" max="11" min="11" style="0" width="5.29"/>
    <col collapsed="false" customWidth="true" hidden="false" outlineLevel="0" max="12" min="12" style="0" width="17"/>
    <col collapsed="false" customWidth="true" hidden="false" outlineLevel="0" max="13" min="13" style="0" width="9.29"/>
    <col collapsed="false" customWidth="true" hidden="false" outlineLevel="0" max="14" min="14" style="0" width="4.57"/>
    <col collapsed="false" customWidth="true" hidden="false" outlineLevel="0" max="15" min="15" style="0" width="6.29"/>
  </cols>
  <sheetData>
    <row r="1" customFormat="false" ht="15" hidden="false" customHeight="false" outlineLevel="0" collapsed="false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customFormat="false" ht="15" hidden="false" customHeight="false" outlineLevel="0" collapsed="false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customFormat="false" ht="15" hidden="false" customHeight="false" outlineLevel="0" collapsed="false">
      <c r="A3" s="19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20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16</v>
      </c>
    </row>
    <row r="4" customFormat="false" ht="15" hidden="false" customHeight="false" outlineLevel="0" collapsed="false">
      <c r="A4" s="21"/>
      <c r="B4" s="2"/>
      <c r="C4" s="6" t="s">
        <v>925</v>
      </c>
      <c r="D4" s="7"/>
      <c r="E4" s="2"/>
      <c r="F4" s="2"/>
      <c r="G4" s="2"/>
      <c r="H4" s="2"/>
      <c r="I4" s="2"/>
      <c r="J4" s="2"/>
      <c r="K4" s="2"/>
      <c r="L4" s="8"/>
      <c r="M4" s="22"/>
      <c r="N4" s="6"/>
      <c r="O4" s="6"/>
    </row>
    <row r="5" customFormat="false" ht="15" hidden="false" customHeight="false" outlineLevel="0" collapsed="false">
      <c r="A5" s="23" t="n">
        <v>1</v>
      </c>
      <c r="B5" s="10" t="n">
        <v>867901</v>
      </c>
      <c r="C5" s="11" t="s">
        <v>926</v>
      </c>
      <c r="D5" s="12" t="n">
        <v>33790</v>
      </c>
      <c r="E5" s="11" t="s">
        <v>927</v>
      </c>
      <c r="F5" s="11" t="s">
        <v>165</v>
      </c>
      <c r="G5" s="11" t="s">
        <v>928</v>
      </c>
      <c r="H5" s="11" t="n">
        <v>6490615</v>
      </c>
      <c r="I5" s="11" t="n">
        <v>34858</v>
      </c>
      <c r="J5" s="11" t="n">
        <v>57</v>
      </c>
      <c r="K5" s="11" t="s">
        <v>22</v>
      </c>
      <c r="L5" s="11" t="s">
        <v>929</v>
      </c>
      <c r="M5" s="24" t="n">
        <v>45748</v>
      </c>
      <c r="N5" s="25" t="n">
        <f aca="false">INT((M5-D5)/365.25)</f>
        <v>32</v>
      </c>
      <c r="O5" s="12" t="s">
        <v>22</v>
      </c>
    </row>
    <row r="6" customFormat="false" ht="15" hidden="false" customHeight="false" outlineLevel="0" collapsed="false">
      <c r="A6" s="23" t="n">
        <v>2</v>
      </c>
      <c r="B6" s="10" t="n">
        <v>489600</v>
      </c>
      <c r="C6" s="11" t="s">
        <v>930</v>
      </c>
      <c r="D6" s="12" t="n">
        <v>29327</v>
      </c>
      <c r="E6" s="11" t="s">
        <v>452</v>
      </c>
      <c r="F6" s="11" t="s">
        <v>165</v>
      </c>
      <c r="G6" s="11" t="s">
        <v>931</v>
      </c>
      <c r="H6" s="11" t="n">
        <v>5359738</v>
      </c>
      <c r="I6" s="11" t="n">
        <v>51330</v>
      </c>
      <c r="J6" s="11" t="n">
        <v>9209</v>
      </c>
      <c r="K6" s="11" t="s">
        <v>22</v>
      </c>
      <c r="L6" s="11" t="s">
        <v>929</v>
      </c>
      <c r="M6" s="24" t="n">
        <v>45748</v>
      </c>
      <c r="N6" s="25" t="n">
        <f aca="false">INT((M6-D6)/365.25)</f>
        <v>44</v>
      </c>
      <c r="O6" s="12" t="s">
        <v>22</v>
      </c>
    </row>
    <row r="7" customFormat="false" ht="15" hidden="false" customHeight="false" outlineLevel="0" collapsed="false">
      <c r="A7" s="23" t="n">
        <v>3</v>
      </c>
      <c r="B7" s="10" t="n">
        <v>857502</v>
      </c>
      <c r="C7" s="11" t="s">
        <v>932</v>
      </c>
      <c r="D7" s="12" t="n">
        <v>38266</v>
      </c>
      <c r="E7" s="11" t="s">
        <v>927</v>
      </c>
      <c r="F7" s="11" t="s">
        <v>165</v>
      </c>
      <c r="G7" s="11" t="s">
        <v>933</v>
      </c>
      <c r="H7" s="11" t="n">
        <v>10492338</v>
      </c>
      <c r="I7" s="11" t="n">
        <v>816742</v>
      </c>
      <c r="J7" s="11" t="n">
        <v>5290</v>
      </c>
      <c r="K7" s="11" t="s">
        <v>22</v>
      </c>
      <c r="L7" s="11" t="s">
        <v>929</v>
      </c>
      <c r="M7" s="24" t="n">
        <v>45748</v>
      </c>
      <c r="N7" s="25" t="n">
        <f aca="false">INT((M7-D7)/365.25)</f>
        <v>20</v>
      </c>
      <c r="O7" s="12" t="s">
        <v>22</v>
      </c>
    </row>
    <row r="8" customFormat="false" ht="15" hidden="false" customHeight="false" outlineLevel="0" collapsed="false">
      <c r="A8" s="23" t="n">
        <v>4</v>
      </c>
      <c r="B8" s="10" t="n">
        <v>582270</v>
      </c>
      <c r="C8" s="11" t="s">
        <v>934</v>
      </c>
      <c r="D8" s="12" t="n">
        <v>32968</v>
      </c>
      <c r="E8" s="11" t="s">
        <v>935</v>
      </c>
      <c r="F8" s="11" t="s">
        <v>165</v>
      </c>
      <c r="G8" s="11" t="s">
        <v>936</v>
      </c>
      <c r="H8" s="11" t="n">
        <v>6642972</v>
      </c>
      <c r="I8" s="11" t="n">
        <v>109737</v>
      </c>
      <c r="J8" s="11" t="n">
        <v>9205</v>
      </c>
      <c r="K8" s="11" t="s">
        <v>22</v>
      </c>
      <c r="L8" s="11" t="s">
        <v>929</v>
      </c>
      <c r="M8" s="24" t="n">
        <v>45748</v>
      </c>
      <c r="N8" s="25" t="n">
        <f aca="false">INT((M8-D8)/365.25)</f>
        <v>34</v>
      </c>
      <c r="O8" s="12" t="s">
        <v>22</v>
      </c>
    </row>
    <row r="9" customFormat="false" ht="15" hidden="false" customHeight="false" outlineLevel="0" collapsed="false">
      <c r="A9" s="23" t="n">
        <v>5</v>
      </c>
      <c r="B9" s="10" t="n">
        <v>843043</v>
      </c>
      <c r="C9" s="11" t="s">
        <v>937</v>
      </c>
      <c r="D9" s="12" t="n">
        <v>28540</v>
      </c>
      <c r="E9" s="11" t="s">
        <v>935</v>
      </c>
      <c r="F9" s="11" t="s">
        <v>165</v>
      </c>
      <c r="G9" s="11" t="s">
        <v>938</v>
      </c>
      <c r="H9" s="11" t="n">
        <v>4908336</v>
      </c>
      <c r="I9" s="11" t="n">
        <v>1154211</v>
      </c>
      <c r="J9" s="11" t="n">
        <v>60</v>
      </c>
      <c r="K9" s="11" t="s">
        <v>22</v>
      </c>
      <c r="L9" s="11" t="s">
        <v>929</v>
      </c>
      <c r="M9" s="24" t="n">
        <v>45748</v>
      </c>
      <c r="N9" s="25" t="n">
        <f aca="false">INT((M9-D9)/365.25)</f>
        <v>47</v>
      </c>
      <c r="O9" s="12" t="s">
        <v>22</v>
      </c>
    </row>
    <row r="10" customFormat="false" ht="15" hidden="false" customHeight="false" outlineLevel="0" collapsed="false">
      <c r="A10" s="23" t="n">
        <v>6</v>
      </c>
      <c r="B10" s="10" t="n">
        <v>868345</v>
      </c>
      <c r="C10" s="11" t="s">
        <v>939</v>
      </c>
      <c r="D10" s="12" t="n">
        <v>34872</v>
      </c>
      <c r="E10" s="11" t="s">
        <v>452</v>
      </c>
      <c r="F10" s="11" t="s">
        <v>165</v>
      </c>
      <c r="G10" s="11" t="s">
        <v>940</v>
      </c>
      <c r="H10" s="11" t="n">
        <v>7265304</v>
      </c>
      <c r="I10" s="11" t="n">
        <v>353252</v>
      </c>
      <c r="J10" s="11" t="n">
        <v>3280</v>
      </c>
      <c r="K10" s="11" t="s">
        <v>22</v>
      </c>
      <c r="L10" s="11" t="s">
        <v>929</v>
      </c>
      <c r="M10" s="24" t="n">
        <v>45748</v>
      </c>
      <c r="N10" s="25" t="n">
        <f aca="false">INT((M10-D10)/365.25)</f>
        <v>29</v>
      </c>
      <c r="O10" s="12" t="s">
        <v>22</v>
      </c>
    </row>
    <row r="11" customFormat="false" ht="15" hidden="false" customHeight="false" outlineLevel="0" collapsed="false">
      <c r="A11" s="23" t="n">
        <v>7</v>
      </c>
      <c r="B11" s="10" t="n">
        <v>868347</v>
      </c>
      <c r="C11" s="11" t="s">
        <v>941</v>
      </c>
      <c r="D11" s="12" t="n">
        <v>38091</v>
      </c>
      <c r="E11" s="11" t="s">
        <v>452</v>
      </c>
      <c r="F11" s="11" t="s">
        <v>165</v>
      </c>
      <c r="G11" s="11" t="s">
        <v>942</v>
      </c>
      <c r="H11" s="11" t="n">
        <v>9637761</v>
      </c>
      <c r="I11" s="11" t="n">
        <v>763135</v>
      </c>
      <c r="J11" s="11" t="n">
        <v>205</v>
      </c>
      <c r="K11" s="11" t="s">
        <v>22</v>
      </c>
      <c r="L11" s="11" t="s">
        <v>929</v>
      </c>
      <c r="M11" s="24" t="n">
        <v>45748</v>
      </c>
      <c r="N11" s="25" t="n">
        <f aca="false">INT((M11-D11)/365.25)</f>
        <v>20</v>
      </c>
      <c r="O11" s="12" t="s">
        <v>22</v>
      </c>
    </row>
    <row r="12" customFormat="false" ht="15" hidden="false" customHeight="false" outlineLevel="0" collapsed="false">
      <c r="A12" s="23" t="n">
        <v>8</v>
      </c>
      <c r="B12" s="10" t="n">
        <v>853855</v>
      </c>
      <c r="C12" s="11" t="s">
        <v>943</v>
      </c>
      <c r="D12" s="12" t="n">
        <v>27880</v>
      </c>
      <c r="E12" s="11" t="s">
        <v>452</v>
      </c>
      <c r="F12" s="11" t="s">
        <v>165</v>
      </c>
      <c r="G12" s="11" t="s">
        <v>944</v>
      </c>
      <c r="H12" s="11" t="n">
        <v>9507845</v>
      </c>
      <c r="I12" s="11" t="n">
        <v>32494</v>
      </c>
      <c r="J12" s="11" t="n">
        <v>40</v>
      </c>
      <c r="K12" s="11" t="s">
        <v>22</v>
      </c>
      <c r="L12" s="11" t="s">
        <v>929</v>
      </c>
      <c r="M12" s="24" t="n">
        <v>45748</v>
      </c>
      <c r="N12" s="25" t="n">
        <f aca="false">INT((M12-D12)/365.25)</f>
        <v>48</v>
      </c>
      <c r="O12" s="12" t="s">
        <v>22</v>
      </c>
    </row>
    <row r="13" customFormat="false" ht="15" hidden="false" customHeight="false" outlineLevel="0" collapsed="false">
      <c r="A13" s="23" t="n">
        <v>9</v>
      </c>
      <c r="B13" s="10" t="n">
        <v>868346</v>
      </c>
      <c r="C13" s="11" t="s">
        <v>945</v>
      </c>
      <c r="D13" s="12" t="n">
        <v>29179</v>
      </c>
      <c r="E13" s="11" t="s">
        <v>452</v>
      </c>
      <c r="F13" s="11" t="s">
        <v>165</v>
      </c>
      <c r="G13" s="11" t="s">
        <v>946</v>
      </c>
      <c r="H13" s="11" t="n">
        <v>6699654</v>
      </c>
      <c r="I13" s="11" t="n">
        <v>125123</v>
      </c>
      <c r="J13" s="11" t="n">
        <v>9233</v>
      </c>
      <c r="K13" s="11" t="s">
        <v>22</v>
      </c>
      <c r="L13" s="11" t="s">
        <v>929</v>
      </c>
      <c r="M13" s="24" t="n">
        <v>45748</v>
      </c>
      <c r="N13" s="25" t="n">
        <f aca="false">INT((M13-D13)/365.25)</f>
        <v>45</v>
      </c>
      <c r="O13" s="12" t="s">
        <v>22</v>
      </c>
    </row>
    <row r="14" customFormat="false" ht="15" hidden="false" customHeight="false" outlineLevel="0" collapsed="false">
      <c r="A14" s="23" t="n">
        <v>10</v>
      </c>
      <c r="B14" s="10" t="n">
        <v>846864</v>
      </c>
      <c r="C14" s="11" t="s">
        <v>947</v>
      </c>
      <c r="D14" s="12" t="n">
        <v>37429</v>
      </c>
      <c r="E14" s="11" t="s">
        <v>927</v>
      </c>
      <c r="F14" s="11" t="s">
        <v>165</v>
      </c>
      <c r="G14" s="11" t="s">
        <v>948</v>
      </c>
      <c r="H14" s="11" t="n">
        <v>9252422</v>
      </c>
      <c r="I14" s="11" t="n">
        <v>943995</v>
      </c>
      <c r="J14" s="11" t="n">
        <v>3292</v>
      </c>
      <c r="K14" s="11" t="s">
        <v>22</v>
      </c>
      <c r="L14" s="11" t="s">
        <v>929</v>
      </c>
      <c r="M14" s="24" t="n">
        <v>45748</v>
      </c>
      <c r="N14" s="25" t="n">
        <f aca="false">INT((M14-D14)/365.25)</f>
        <v>22</v>
      </c>
      <c r="O14" s="12" t="s">
        <v>22</v>
      </c>
    </row>
    <row r="15" customFormat="false" ht="15" hidden="false" customHeight="false" outlineLevel="0" collapsed="false">
      <c r="A15" s="23" t="n">
        <v>11</v>
      </c>
      <c r="B15" s="10" t="n">
        <v>822598</v>
      </c>
      <c r="C15" s="11" t="s">
        <v>949</v>
      </c>
      <c r="D15" s="12" t="n">
        <v>37131</v>
      </c>
      <c r="E15" s="11" t="s">
        <v>452</v>
      </c>
      <c r="F15" s="11" t="s">
        <v>165</v>
      </c>
      <c r="G15" s="11" t="s">
        <v>950</v>
      </c>
      <c r="H15" s="11" t="n">
        <v>8928547</v>
      </c>
      <c r="I15" s="11" t="n">
        <v>704629</v>
      </c>
      <c r="J15" s="11" t="n">
        <v>5263</v>
      </c>
      <c r="K15" s="11" t="s">
        <v>22</v>
      </c>
      <c r="L15" s="11" t="s">
        <v>929</v>
      </c>
      <c r="M15" s="24" t="n">
        <v>45748</v>
      </c>
      <c r="N15" s="25" t="n">
        <f aca="false">INT((M15-D15)/365.25)</f>
        <v>23</v>
      </c>
      <c r="O15" s="12" t="s">
        <v>22</v>
      </c>
    </row>
    <row r="16" customFormat="false" ht="15" hidden="false" customHeight="false" outlineLevel="0" collapsed="false">
      <c r="A16" s="23" t="n">
        <v>12</v>
      </c>
      <c r="B16" s="10" t="n">
        <v>857051</v>
      </c>
      <c r="C16" s="11" t="s">
        <v>951</v>
      </c>
      <c r="D16" s="12" t="n">
        <v>35174</v>
      </c>
      <c r="E16" s="11" t="s">
        <v>952</v>
      </c>
      <c r="F16" s="11" t="s">
        <v>165</v>
      </c>
      <c r="G16" s="11" t="s">
        <v>953</v>
      </c>
      <c r="H16" s="11" t="n">
        <v>9726615</v>
      </c>
      <c r="I16" s="11" t="n">
        <v>910711</v>
      </c>
      <c r="J16" s="11" t="n">
        <v>7205</v>
      </c>
      <c r="K16" s="11" t="s">
        <v>22</v>
      </c>
      <c r="L16" s="11" t="s">
        <v>929</v>
      </c>
      <c r="M16" s="24" t="n">
        <v>45748</v>
      </c>
      <c r="N16" s="25" t="n">
        <f aca="false">INT((M16-D16)/365.25)</f>
        <v>28</v>
      </c>
      <c r="O16" s="12" t="s">
        <v>22</v>
      </c>
    </row>
    <row r="17" customFormat="false" ht="15" hidden="false" customHeight="false" outlineLevel="0" collapsed="false">
      <c r="A17" s="23" t="n">
        <v>13</v>
      </c>
      <c r="B17" s="10" t="n">
        <v>833388</v>
      </c>
      <c r="C17" s="11" t="s">
        <v>954</v>
      </c>
      <c r="D17" s="12" t="n">
        <v>29941</v>
      </c>
      <c r="E17" s="11" t="s">
        <v>952</v>
      </c>
      <c r="F17" s="11" t="s">
        <v>165</v>
      </c>
      <c r="G17" s="11" t="s">
        <v>955</v>
      </c>
      <c r="H17" s="11" t="n">
        <v>5460229</v>
      </c>
      <c r="I17" s="11" t="n">
        <v>8127534</v>
      </c>
      <c r="J17" s="11" t="n">
        <v>210</v>
      </c>
      <c r="K17" s="11" t="s">
        <v>22</v>
      </c>
      <c r="L17" s="11" t="s">
        <v>929</v>
      </c>
      <c r="M17" s="24" t="n">
        <v>45748</v>
      </c>
      <c r="N17" s="25" t="n">
        <f aca="false">INT((M17-D17)/365.25)</f>
        <v>43</v>
      </c>
      <c r="O17" s="12" t="s">
        <v>22</v>
      </c>
    </row>
    <row r="18" customFormat="false" ht="15" hidden="false" customHeight="false" outlineLevel="0" collapsed="false">
      <c r="A18" s="23" t="n">
        <v>14</v>
      </c>
      <c r="B18" s="10" t="n">
        <v>868190</v>
      </c>
      <c r="C18" s="11" t="s">
        <v>956</v>
      </c>
      <c r="D18" s="12" t="n">
        <v>36682</v>
      </c>
      <c r="E18" s="11" t="s">
        <v>952</v>
      </c>
      <c r="F18" s="11" t="s">
        <v>165</v>
      </c>
      <c r="G18" s="11" t="s">
        <v>957</v>
      </c>
      <c r="H18" s="11" t="n">
        <v>7895112</v>
      </c>
      <c r="I18" s="11" t="n">
        <v>4367130</v>
      </c>
      <c r="J18" s="11" t="n">
        <v>60</v>
      </c>
      <c r="K18" s="11" t="s">
        <v>22</v>
      </c>
      <c r="L18" s="11" t="s">
        <v>929</v>
      </c>
      <c r="M18" s="24" t="n">
        <v>45748</v>
      </c>
      <c r="N18" s="25" t="n">
        <f aca="false">INT((M18-D18)/365.25)</f>
        <v>24</v>
      </c>
      <c r="O18" s="12" t="s">
        <v>22</v>
      </c>
    </row>
    <row r="19" customFormat="false" ht="15" hidden="false" customHeight="false" outlineLevel="0" collapsed="false">
      <c r="A19" s="23" t="n">
        <v>15</v>
      </c>
      <c r="B19" s="10" t="n">
        <v>860802</v>
      </c>
      <c r="C19" s="11" t="s">
        <v>958</v>
      </c>
      <c r="D19" s="12" t="n">
        <v>33863</v>
      </c>
      <c r="E19" s="11" t="s">
        <v>952</v>
      </c>
      <c r="F19" s="11" t="s">
        <v>165</v>
      </c>
      <c r="G19" s="11" t="s">
        <v>959</v>
      </c>
      <c r="H19" s="11" t="n">
        <v>6772543</v>
      </c>
      <c r="I19" s="11" t="n">
        <v>36654</v>
      </c>
      <c r="J19" s="11" t="n">
        <v>59</v>
      </c>
      <c r="K19" s="11" t="s">
        <v>22</v>
      </c>
      <c r="L19" s="11" t="s">
        <v>929</v>
      </c>
      <c r="M19" s="24" t="n">
        <v>45748</v>
      </c>
      <c r="N19" s="25" t="n">
        <f aca="false">INT((M19-D19)/365.25)</f>
        <v>32</v>
      </c>
      <c r="O19" s="12" t="s">
        <v>22</v>
      </c>
    </row>
    <row r="20" customFormat="false" ht="15" hidden="false" customHeight="false" outlineLevel="0" collapsed="false">
      <c r="A20" s="23" t="n">
        <v>16</v>
      </c>
      <c r="B20" s="10" t="n">
        <v>853897</v>
      </c>
      <c r="C20" s="11" t="s">
        <v>960</v>
      </c>
      <c r="D20" s="12" t="n">
        <v>33215</v>
      </c>
      <c r="E20" s="11" t="s">
        <v>961</v>
      </c>
      <c r="F20" s="11" t="s">
        <v>165</v>
      </c>
      <c r="G20" s="11" t="s">
        <v>962</v>
      </c>
      <c r="H20" s="11" t="n">
        <v>8453965</v>
      </c>
      <c r="I20" s="11" t="n">
        <v>6996257</v>
      </c>
      <c r="J20" s="11" t="n">
        <v>60</v>
      </c>
      <c r="K20" s="11" t="s">
        <v>22</v>
      </c>
      <c r="L20" s="11" t="s">
        <v>929</v>
      </c>
      <c r="M20" s="24" t="n">
        <v>45748</v>
      </c>
      <c r="N20" s="25" t="n">
        <f aca="false">INT((M20-D20)/365.25)</f>
        <v>34</v>
      </c>
      <c r="O20" s="12" t="s">
        <v>22</v>
      </c>
    </row>
    <row r="21" customFormat="false" ht="15" hidden="false" customHeight="false" outlineLevel="0" collapsed="false">
      <c r="A21" s="23" t="n">
        <v>17</v>
      </c>
      <c r="B21" s="10" t="n">
        <v>610610</v>
      </c>
      <c r="C21" s="11" t="s">
        <v>963</v>
      </c>
      <c r="D21" s="12" t="n">
        <v>30488</v>
      </c>
      <c r="E21" s="11" t="s">
        <v>452</v>
      </c>
      <c r="F21" s="11" t="s">
        <v>165</v>
      </c>
      <c r="G21" s="11" t="s">
        <v>964</v>
      </c>
      <c r="H21" s="11" t="n">
        <v>5819136</v>
      </c>
      <c r="I21" s="11" t="n">
        <v>9409651</v>
      </c>
      <c r="J21" s="11" t="n">
        <v>1234</v>
      </c>
      <c r="K21" s="11" t="s">
        <v>22</v>
      </c>
      <c r="L21" s="11" t="s">
        <v>929</v>
      </c>
      <c r="M21" s="24" t="n">
        <v>45748</v>
      </c>
      <c r="N21" s="25" t="n">
        <f aca="false">INT((M21-D21)/365.25)</f>
        <v>41</v>
      </c>
      <c r="O21" s="12" t="s">
        <v>22</v>
      </c>
    </row>
    <row r="22" customFormat="false" ht="15" hidden="false" customHeight="false" outlineLevel="0" collapsed="false">
      <c r="A22" s="23" t="n">
        <v>18</v>
      </c>
      <c r="B22" s="10" t="n">
        <v>818839</v>
      </c>
      <c r="C22" s="11" t="s">
        <v>965</v>
      </c>
      <c r="D22" s="12" t="n">
        <v>34102</v>
      </c>
      <c r="E22" s="11" t="s">
        <v>961</v>
      </c>
      <c r="F22" s="11" t="s">
        <v>165</v>
      </c>
      <c r="G22" s="11" t="s">
        <v>966</v>
      </c>
      <c r="H22" s="11" t="n">
        <v>6826166</v>
      </c>
      <c r="I22" s="11" t="n">
        <v>425767</v>
      </c>
      <c r="J22" s="11" t="n">
        <v>274</v>
      </c>
      <c r="K22" s="11" t="s">
        <v>22</v>
      </c>
      <c r="L22" s="11" t="s">
        <v>929</v>
      </c>
      <c r="M22" s="24" t="n">
        <v>45748</v>
      </c>
      <c r="N22" s="25" t="n">
        <f aca="false">INT((M22-D22)/365.25)</f>
        <v>31</v>
      </c>
      <c r="O22" s="12" t="s">
        <v>22</v>
      </c>
    </row>
    <row r="23" customFormat="false" ht="15" hidden="false" customHeight="false" outlineLevel="0" collapsed="false">
      <c r="A23" s="23" t="n">
        <v>19</v>
      </c>
      <c r="B23" s="10" t="n">
        <v>867913</v>
      </c>
      <c r="C23" s="11" t="s">
        <v>967</v>
      </c>
      <c r="D23" s="12" t="n">
        <v>32224</v>
      </c>
      <c r="E23" s="11" t="s">
        <v>961</v>
      </c>
      <c r="F23" s="11" t="s">
        <v>165</v>
      </c>
      <c r="G23" s="11" t="s">
        <v>968</v>
      </c>
      <c r="H23" s="11" t="n">
        <v>6622391</v>
      </c>
      <c r="I23" s="11" t="n">
        <v>169546</v>
      </c>
      <c r="J23" s="11" t="n">
        <v>3226</v>
      </c>
      <c r="K23" s="11" t="s">
        <v>22</v>
      </c>
      <c r="L23" s="11" t="s">
        <v>929</v>
      </c>
      <c r="M23" s="24" t="n">
        <v>45748</v>
      </c>
      <c r="N23" s="25" t="n">
        <f aca="false">INT((M23-D23)/365.25)</f>
        <v>37</v>
      </c>
      <c r="O23" s="12" t="s">
        <v>22</v>
      </c>
    </row>
    <row r="24" customFormat="false" ht="15" hidden="false" customHeight="false" outlineLevel="0" collapsed="false">
      <c r="A24" s="23" t="n">
        <v>20</v>
      </c>
      <c r="B24" s="10" t="n">
        <v>833391</v>
      </c>
      <c r="C24" s="11" t="s">
        <v>969</v>
      </c>
      <c r="D24" s="12" t="n">
        <v>27091</v>
      </c>
      <c r="E24" s="11" t="s">
        <v>961</v>
      </c>
      <c r="F24" s="11" t="s">
        <v>165</v>
      </c>
      <c r="G24" s="11" t="s">
        <v>970</v>
      </c>
      <c r="H24" s="11" t="n">
        <v>3639391</v>
      </c>
      <c r="I24" s="11" t="n">
        <v>7103243</v>
      </c>
      <c r="J24" s="11" t="n">
        <v>9211</v>
      </c>
      <c r="K24" s="11" t="s">
        <v>22</v>
      </c>
      <c r="L24" s="11" t="s">
        <v>929</v>
      </c>
      <c r="M24" s="24" t="n">
        <v>45748</v>
      </c>
      <c r="N24" s="25" t="n">
        <f aca="false">INT((M24-D24)/365.25)</f>
        <v>51</v>
      </c>
      <c r="O24" s="12" t="s">
        <v>22</v>
      </c>
    </row>
    <row r="25" customFormat="false" ht="15" hidden="false" customHeight="false" outlineLevel="0" collapsed="false">
      <c r="A25" s="23" t="n">
        <v>21</v>
      </c>
      <c r="B25" s="10" t="n">
        <v>857448</v>
      </c>
      <c r="C25" s="11" t="s">
        <v>971</v>
      </c>
      <c r="D25" s="12" t="n">
        <v>37239</v>
      </c>
      <c r="E25" s="11" t="s">
        <v>961</v>
      </c>
      <c r="F25" s="11" t="s">
        <v>165</v>
      </c>
      <c r="G25" s="11" t="s">
        <v>972</v>
      </c>
      <c r="H25" s="11" t="n">
        <v>8928851</v>
      </c>
      <c r="I25" s="11" t="n">
        <v>669801</v>
      </c>
      <c r="J25" s="11" t="n">
        <v>6233</v>
      </c>
      <c r="K25" s="11" t="s">
        <v>22</v>
      </c>
      <c r="L25" s="11" t="s">
        <v>929</v>
      </c>
      <c r="M25" s="24" t="n">
        <v>45748</v>
      </c>
      <c r="N25" s="25" t="n">
        <f aca="false">INT((M25-D25)/365.25)</f>
        <v>23</v>
      </c>
      <c r="O25" s="12" t="s">
        <v>22</v>
      </c>
    </row>
    <row r="26" customFormat="false" ht="15" hidden="false" customHeight="false" outlineLevel="0" collapsed="false">
      <c r="A26" s="23" t="n">
        <v>22</v>
      </c>
      <c r="B26" s="10" t="n">
        <v>818845</v>
      </c>
      <c r="C26" s="11" t="s">
        <v>973</v>
      </c>
      <c r="D26" s="12" t="n">
        <v>28876</v>
      </c>
      <c r="E26" s="11" t="s">
        <v>961</v>
      </c>
      <c r="F26" s="11" t="s">
        <v>165</v>
      </c>
      <c r="G26" s="11" t="s">
        <v>974</v>
      </c>
      <c r="H26" s="11" t="n">
        <v>4341164</v>
      </c>
      <c r="I26" s="11" t="n">
        <v>6322292</v>
      </c>
      <c r="J26" s="11" t="n">
        <v>2268</v>
      </c>
      <c r="K26" s="11" t="s">
        <v>22</v>
      </c>
      <c r="L26" s="11" t="s">
        <v>929</v>
      </c>
      <c r="M26" s="24" t="n">
        <v>45748</v>
      </c>
      <c r="N26" s="25" t="n">
        <f aca="false">INT((M26-D26)/365.25)</f>
        <v>46</v>
      </c>
      <c r="O26" s="12" t="s">
        <v>22</v>
      </c>
    </row>
    <row r="27" customFormat="false" ht="15" hidden="false" customHeight="false" outlineLevel="0" collapsed="false">
      <c r="A27" s="23" t="n">
        <v>23</v>
      </c>
      <c r="B27" s="10" t="n">
        <v>838846</v>
      </c>
      <c r="C27" s="11" t="s">
        <v>975</v>
      </c>
      <c r="D27" s="12" t="n">
        <v>33268</v>
      </c>
      <c r="E27" s="11" t="s">
        <v>961</v>
      </c>
      <c r="F27" s="11" t="s">
        <v>165</v>
      </c>
      <c r="G27" s="11" t="s">
        <v>976</v>
      </c>
      <c r="H27" s="11" t="s">
        <v>977</v>
      </c>
      <c r="I27" s="11" t="n">
        <v>56174</v>
      </c>
      <c r="J27" s="11" t="n">
        <v>34</v>
      </c>
      <c r="K27" s="11" t="s">
        <v>22</v>
      </c>
      <c r="L27" s="11" t="s">
        <v>929</v>
      </c>
      <c r="M27" s="24" t="n">
        <v>45748</v>
      </c>
      <c r="N27" s="25" t="n">
        <f aca="false">INT((M27-D27)/365.25)</f>
        <v>34</v>
      </c>
      <c r="O27" s="12" t="s">
        <v>22</v>
      </c>
    </row>
    <row r="28" customFormat="false" ht="15" hidden="false" customHeight="false" outlineLevel="0" collapsed="false">
      <c r="A28" s="23" t="n">
        <v>24</v>
      </c>
      <c r="B28" s="10" t="n">
        <v>610625</v>
      </c>
      <c r="C28" s="11" t="s">
        <v>978</v>
      </c>
      <c r="D28" s="12" t="n">
        <v>33409</v>
      </c>
      <c r="E28" s="11" t="s">
        <v>452</v>
      </c>
      <c r="F28" s="11" t="s">
        <v>165</v>
      </c>
      <c r="G28" s="11" t="s">
        <v>979</v>
      </c>
      <c r="H28" s="11" t="n">
        <v>58984071</v>
      </c>
      <c r="I28" s="11" t="n">
        <v>7023320</v>
      </c>
      <c r="J28" s="11" t="n">
        <v>5209</v>
      </c>
      <c r="K28" s="11" t="s">
        <v>30</v>
      </c>
      <c r="L28" s="11" t="s">
        <v>929</v>
      </c>
      <c r="M28" s="24" t="n">
        <v>45748</v>
      </c>
      <c r="N28" s="25" t="n">
        <f aca="false">INT((M28-D28)/365.25)</f>
        <v>33</v>
      </c>
      <c r="O28" s="12" t="s">
        <v>22</v>
      </c>
    </row>
    <row r="29" customFormat="false" ht="15" hidden="false" customHeight="false" outlineLevel="0" collapsed="false">
      <c r="A29" s="23" t="n">
        <v>25</v>
      </c>
      <c r="B29" s="10" t="n">
        <v>868193</v>
      </c>
      <c r="C29" s="11" t="s">
        <v>980</v>
      </c>
      <c r="D29" s="12" t="n">
        <v>33764</v>
      </c>
      <c r="E29" s="11" t="s">
        <v>961</v>
      </c>
      <c r="F29" s="11" t="s">
        <v>165</v>
      </c>
      <c r="G29" s="11" t="s">
        <v>981</v>
      </c>
      <c r="H29" s="11" t="n">
        <v>6299101</v>
      </c>
      <c r="I29" s="11" t="n">
        <v>2837705</v>
      </c>
      <c r="J29" s="11" t="n">
        <v>60</v>
      </c>
      <c r="K29" s="11" t="s">
        <v>22</v>
      </c>
      <c r="L29" s="11" t="s">
        <v>929</v>
      </c>
      <c r="M29" s="24" t="n">
        <v>45748</v>
      </c>
      <c r="N29" s="25" t="n">
        <f aca="false">INT((M29-D29)/365.25)</f>
        <v>32</v>
      </c>
      <c r="O29" s="12" t="s">
        <v>22</v>
      </c>
    </row>
    <row r="30" customFormat="false" ht="15" hidden="false" customHeight="false" outlineLevel="0" collapsed="false">
      <c r="A30" s="23" t="n">
        <v>26</v>
      </c>
      <c r="B30" s="10" t="n">
        <v>610640</v>
      </c>
      <c r="C30" s="11" t="s">
        <v>982</v>
      </c>
      <c r="D30" s="12" t="n">
        <v>32462</v>
      </c>
      <c r="E30" s="11" t="s">
        <v>452</v>
      </c>
      <c r="F30" s="11" t="s">
        <v>165</v>
      </c>
      <c r="G30" s="11" t="s">
        <v>983</v>
      </c>
      <c r="H30" s="11" t="n">
        <v>6173906</v>
      </c>
      <c r="I30" s="11" t="n">
        <v>43723</v>
      </c>
      <c r="J30" s="11" t="n">
        <v>6242</v>
      </c>
      <c r="K30" s="11" t="s">
        <v>22</v>
      </c>
      <c r="L30" s="11" t="s">
        <v>929</v>
      </c>
      <c r="M30" s="24" t="n">
        <v>45748</v>
      </c>
      <c r="N30" s="25" t="n">
        <f aca="false">INT((M30-D30)/365.25)</f>
        <v>36</v>
      </c>
      <c r="O30" s="12" t="s">
        <v>22</v>
      </c>
    </row>
    <row r="31" customFormat="false" ht="15" hidden="false" customHeight="false" outlineLevel="0" collapsed="false">
      <c r="A31" s="23" t="n">
        <v>27</v>
      </c>
      <c r="B31" s="10" t="n">
        <v>867916</v>
      </c>
      <c r="C31" s="11" t="s">
        <v>984</v>
      </c>
      <c r="D31" s="12" t="n">
        <v>38179</v>
      </c>
      <c r="E31" s="11" t="s">
        <v>452</v>
      </c>
      <c r="F31" s="11" t="s">
        <v>165</v>
      </c>
      <c r="G31" s="11" t="s">
        <v>985</v>
      </c>
      <c r="H31" s="11" t="n">
        <v>9443920</v>
      </c>
      <c r="I31" s="11" t="n">
        <v>949364</v>
      </c>
      <c r="J31" s="11" t="n">
        <v>5258</v>
      </c>
      <c r="K31" s="11" t="s">
        <v>22</v>
      </c>
      <c r="L31" s="11" t="s">
        <v>929</v>
      </c>
      <c r="M31" s="24" t="n">
        <v>45748</v>
      </c>
      <c r="N31" s="25" t="n">
        <f aca="false">INT((M31-D31)/365.25)</f>
        <v>20</v>
      </c>
      <c r="O31" s="12" t="s">
        <v>22</v>
      </c>
    </row>
  </sheetData>
  <mergeCells count="1">
    <mergeCell ref="A1:O2"/>
  </mergeCells>
  <conditionalFormatting sqref="N5:N31">
    <cfRule type="colorScale" priority="2">
      <colorScale>
        <cfvo type="num" val="17"/>
        <cfvo type="num" val="18"/>
        <color rgb="FFFF0000"/>
        <color rgb="FF92D050"/>
      </colorScale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true"/>
  </sheetPr>
  <dimension ref="A1:O4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18" activeCellId="0" sqref="G18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6.86"/>
    <col collapsed="false" customWidth="true" hidden="false" outlineLevel="0" max="3" min="3" style="0" width="33"/>
    <col collapsed="false" customWidth="true" hidden="false" outlineLevel="0" max="4" min="4" style="0" width="9"/>
    <col collapsed="false" customWidth="true" hidden="false" outlineLevel="0" max="5" min="5" style="0" width="15.86"/>
    <col collapsed="false" customWidth="true" hidden="false" outlineLevel="0" max="6" min="6" style="0" width="6.43"/>
    <col collapsed="false" customWidth="true" hidden="false" outlineLevel="0" max="7" min="7" style="0" width="13"/>
    <col collapsed="false" customWidth="true" hidden="false" outlineLevel="0" max="8" min="8" style="0" width="11.72"/>
    <col collapsed="false" customWidth="true" hidden="false" outlineLevel="0" max="10" min="10" style="0" width="5"/>
    <col collapsed="false" customWidth="true" hidden="false" outlineLevel="0" max="11" min="11" style="0" width="6.14"/>
    <col collapsed="false" customWidth="true" hidden="false" outlineLevel="0" max="12" min="12" style="0" width="13.86"/>
    <col collapsed="false" customWidth="true" hidden="false" outlineLevel="0" max="13" min="13" style="0" width="9.14"/>
    <col collapsed="false" customWidth="true" hidden="false" outlineLevel="0" max="14" min="14" style="0" width="5.71"/>
    <col collapsed="false" customWidth="true" hidden="false" outlineLevel="0" max="15" min="15" style="0" width="6.29"/>
  </cols>
  <sheetData>
    <row r="1" customFormat="false" ht="15" hidden="false" customHeight="false" outlineLevel="0" collapsed="false">
      <c r="A1" s="18" t="s">
        <v>986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customFormat="false" ht="15" hidden="false" customHeight="false" outlineLevel="0" collapsed="false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customFormat="false" ht="15" hidden="false" customHeight="false" outlineLevel="0" collapsed="false">
      <c r="A3" s="43"/>
      <c r="B3" s="44" t="s">
        <v>1</v>
      </c>
      <c r="C3" s="44" t="s">
        <v>2</v>
      </c>
      <c r="D3" s="44" t="s">
        <v>3</v>
      </c>
      <c r="E3" s="44" t="s">
        <v>4</v>
      </c>
      <c r="F3" s="44" t="s">
        <v>5</v>
      </c>
      <c r="G3" s="45" t="s">
        <v>6</v>
      </c>
      <c r="H3" s="44" t="s">
        <v>7</v>
      </c>
      <c r="I3" s="44" t="s">
        <v>8</v>
      </c>
      <c r="J3" s="44" t="s">
        <v>9</v>
      </c>
      <c r="K3" s="44" t="s">
        <v>10</v>
      </c>
      <c r="L3" s="44" t="s">
        <v>11</v>
      </c>
      <c r="M3" s="44" t="s">
        <v>12</v>
      </c>
      <c r="N3" s="44" t="s">
        <v>13</v>
      </c>
      <c r="O3" s="44" t="s">
        <v>16</v>
      </c>
    </row>
    <row r="4" customFormat="false" ht="15" hidden="false" customHeight="false" outlineLevel="0" collapsed="false">
      <c r="A4" s="46"/>
      <c r="B4" s="47"/>
      <c r="C4" s="44" t="s">
        <v>987</v>
      </c>
      <c r="D4" s="48"/>
      <c r="E4" s="47"/>
      <c r="F4" s="47"/>
      <c r="G4" s="47"/>
      <c r="H4" s="47"/>
      <c r="I4" s="47"/>
      <c r="J4" s="47"/>
      <c r="K4" s="47"/>
      <c r="L4" s="49"/>
      <c r="M4" s="50"/>
      <c r="N4" s="44"/>
      <c r="O4" s="44"/>
    </row>
    <row r="5" customFormat="false" ht="15" hidden="false" customHeight="false" outlineLevel="0" collapsed="false">
      <c r="A5" s="51" t="n">
        <v>1</v>
      </c>
      <c r="B5" s="10" t="n">
        <v>868335</v>
      </c>
      <c r="C5" s="11" t="s">
        <v>988</v>
      </c>
      <c r="D5" s="12" t="n">
        <v>38313</v>
      </c>
      <c r="E5" s="11"/>
      <c r="F5" s="11"/>
      <c r="G5" s="11" t="s">
        <v>989</v>
      </c>
      <c r="H5" s="11" t="n">
        <v>9660265</v>
      </c>
      <c r="I5" s="11" t="n">
        <v>809583</v>
      </c>
      <c r="J5" s="11" t="n">
        <v>1271</v>
      </c>
      <c r="K5" s="11" t="s">
        <v>30</v>
      </c>
      <c r="L5" s="11" t="s">
        <v>296</v>
      </c>
      <c r="M5" s="24" t="n">
        <v>45790</v>
      </c>
      <c r="N5" s="25" t="n">
        <f aca="false">INT((M5-D5)/365.25)</f>
        <v>20</v>
      </c>
      <c r="O5" s="12" t="s">
        <v>22</v>
      </c>
    </row>
    <row r="6" customFormat="false" ht="15" hidden="false" customHeight="false" outlineLevel="0" collapsed="false">
      <c r="A6" s="51" t="n">
        <v>2</v>
      </c>
      <c r="B6" s="10" t="n">
        <v>868311</v>
      </c>
      <c r="C6" s="11" t="s">
        <v>990</v>
      </c>
      <c r="D6" s="12" t="n">
        <v>33191</v>
      </c>
      <c r="E6" s="11"/>
      <c r="F6" s="11"/>
      <c r="G6" s="11" t="s">
        <v>991</v>
      </c>
      <c r="H6" s="34" t="s">
        <v>992</v>
      </c>
      <c r="I6" s="11" t="n">
        <v>84396</v>
      </c>
      <c r="J6" s="11" t="n">
        <v>53</v>
      </c>
      <c r="K6" s="11" t="s">
        <v>30</v>
      </c>
      <c r="L6" s="11" t="s">
        <v>296</v>
      </c>
      <c r="M6" s="24" t="n">
        <v>45790</v>
      </c>
      <c r="N6" s="25" t="n">
        <f aca="false">INT((M6-D6)/365.25)</f>
        <v>34</v>
      </c>
      <c r="O6" s="12" t="s">
        <v>22</v>
      </c>
    </row>
    <row r="7" customFormat="false" ht="15" hidden="false" customHeight="false" outlineLevel="0" collapsed="false">
      <c r="A7" s="51" t="n">
        <v>3</v>
      </c>
      <c r="B7" s="10" t="n">
        <v>869596</v>
      </c>
      <c r="C7" s="11" t="s">
        <v>993</v>
      </c>
      <c r="D7" s="12" t="n">
        <v>29109</v>
      </c>
      <c r="E7" s="11"/>
      <c r="F7" s="11"/>
      <c r="G7" s="11" t="s">
        <v>994</v>
      </c>
      <c r="H7" s="11" t="n">
        <v>3403421</v>
      </c>
      <c r="I7" s="11" t="n">
        <v>7353213</v>
      </c>
      <c r="J7" s="11" t="n">
        <v>60</v>
      </c>
      <c r="K7" s="11" t="s">
        <v>22</v>
      </c>
      <c r="L7" s="11" t="s">
        <v>296</v>
      </c>
      <c r="M7" s="24" t="n">
        <v>45790</v>
      </c>
      <c r="N7" s="25" t="n">
        <f aca="false">INT((M7-D7)/365.25)</f>
        <v>45</v>
      </c>
      <c r="O7" s="12" t="s">
        <v>22</v>
      </c>
    </row>
    <row r="8" customFormat="false" ht="15" hidden="false" customHeight="false" outlineLevel="0" collapsed="false">
      <c r="A8" s="51" t="n">
        <v>4</v>
      </c>
      <c r="B8" s="10" t="n">
        <v>849328</v>
      </c>
      <c r="C8" s="11" t="s">
        <v>995</v>
      </c>
      <c r="D8" s="12" t="n">
        <v>33301</v>
      </c>
      <c r="E8" s="11"/>
      <c r="F8" s="11"/>
      <c r="G8" s="11" t="s">
        <v>996</v>
      </c>
      <c r="H8" s="34" t="s">
        <v>997</v>
      </c>
      <c r="I8" s="11" t="n">
        <v>32738</v>
      </c>
      <c r="J8" s="11" t="n">
        <v>33</v>
      </c>
      <c r="K8" s="11" t="s">
        <v>22</v>
      </c>
      <c r="L8" s="11" t="s">
        <v>296</v>
      </c>
      <c r="M8" s="24" t="n">
        <v>45790</v>
      </c>
      <c r="N8" s="25" t="n">
        <f aca="false">INT((M8-D8)/365.25)</f>
        <v>34</v>
      </c>
      <c r="O8" s="12" t="s">
        <v>22</v>
      </c>
    </row>
    <row r="9" customFormat="false" ht="15" hidden="false" customHeight="false" outlineLevel="0" collapsed="false">
      <c r="A9" s="51" t="n">
        <v>5</v>
      </c>
      <c r="B9" s="10" t="n">
        <v>868309</v>
      </c>
      <c r="C9" s="11" t="s">
        <v>998</v>
      </c>
      <c r="D9" s="12" t="n">
        <v>34234</v>
      </c>
      <c r="E9" s="11"/>
      <c r="F9" s="11"/>
      <c r="G9" s="11" t="s">
        <v>999</v>
      </c>
      <c r="H9" s="11" t="n">
        <v>8703353</v>
      </c>
      <c r="I9" s="11" t="n">
        <v>47438</v>
      </c>
      <c r="J9" s="11" t="n">
        <v>114</v>
      </c>
      <c r="K9" s="11" t="s">
        <v>30</v>
      </c>
      <c r="L9" s="11" t="s">
        <v>296</v>
      </c>
      <c r="M9" s="24" t="n">
        <v>45790</v>
      </c>
      <c r="N9" s="25" t="n">
        <f aca="false">INT((M9-D9)/365.25)</f>
        <v>31</v>
      </c>
      <c r="O9" s="12" t="s">
        <v>22</v>
      </c>
    </row>
    <row r="10" customFormat="false" ht="15" hidden="false" customHeight="false" outlineLevel="0" collapsed="false">
      <c r="A10" s="51" t="n">
        <v>6</v>
      </c>
      <c r="B10" s="10" t="n">
        <v>868314</v>
      </c>
      <c r="C10" s="11" t="s">
        <v>1000</v>
      </c>
      <c r="D10" s="12" t="n">
        <v>31604</v>
      </c>
      <c r="E10" s="11"/>
      <c r="F10" s="11"/>
      <c r="G10" s="11" t="s">
        <v>1001</v>
      </c>
      <c r="H10" s="11" t="n">
        <v>7246793</v>
      </c>
      <c r="I10" s="11" t="n">
        <v>797116</v>
      </c>
      <c r="J10" s="11" t="n">
        <v>1417</v>
      </c>
      <c r="K10" s="11" t="s">
        <v>30</v>
      </c>
      <c r="L10" s="11" t="s">
        <v>296</v>
      </c>
      <c r="M10" s="24" t="n">
        <v>45790</v>
      </c>
      <c r="N10" s="25" t="n">
        <f aca="false">INT((M10-D10)/365.25)</f>
        <v>38</v>
      </c>
      <c r="O10" s="12" t="s">
        <v>22</v>
      </c>
    </row>
    <row r="11" customFormat="false" ht="15" hidden="false" customHeight="false" outlineLevel="0" collapsed="false">
      <c r="A11" s="51" t="n">
        <v>7</v>
      </c>
      <c r="B11" s="10" t="n">
        <v>869597</v>
      </c>
      <c r="C11" s="11" t="s">
        <v>1002</v>
      </c>
      <c r="D11" s="12" t="n">
        <v>32251</v>
      </c>
      <c r="E11" s="11"/>
      <c r="F11" s="11"/>
      <c r="G11" s="11" t="s">
        <v>1003</v>
      </c>
      <c r="H11" s="34" t="s">
        <v>992</v>
      </c>
      <c r="I11" s="11" t="n">
        <v>49664</v>
      </c>
      <c r="J11" s="11" t="n">
        <v>50</v>
      </c>
      <c r="K11" s="11" t="s">
        <v>30</v>
      </c>
      <c r="L11" s="11" t="s">
        <v>296</v>
      </c>
      <c r="M11" s="24" t="n">
        <v>45790</v>
      </c>
      <c r="N11" s="25" t="n">
        <f aca="false">INT((M11-D11)/365.25)</f>
        <v>37</v>
      </c>
      <c r="O11" s="12" t="s">
        <v>22</v>
      </c>
    </row>
    <row r="12" customFormat="false" ht="15" hidden="false" customHeight="false" outlineLevel="0" collapsed="false">
      <c r="A12" s="51" t="n">
        <v>8</v>
      </c>
      <c r="B12" s="10" t="n">
        <v>846243</v>
      </c>
      <c r="C12" s="11" t="s">
        <v>1004</v>
      </c>
      <c r="D12" s="12" t="n">
        <v>27045</v>
      </c>
      <c r="E12" s="11"/>
      <c r="F12" s="11"/>
      <c r="G12" s="11" t="s">
        <v>1005</v>
      </c>
      <c r="H12" s="11" t="n">
        <v>5407440</v>
      </c>
      <c r="I12" s="11" t="n">
        <v>5734205</v>
      </c>
      <c r="J12" s="11" t="n">
        <v>9234</v>
      </c>
      <c r="K12" s="11" t="s">
        <v>30</v>
      </c>
      <c r="L12" s="11" t="s">
        <v>296</v>
      </c>
      <c r="M12" s="24" t="n">
        <v>45790</v>
      </c>
      <c r="N12" s="25" t="n">
        <f aca="false">INT((M12-D12)/365.25)</f>
        <v>51</v>
      </c>
      <c r="O12" s="12" t="s">
        <v>22</v>
      </c>
    </row>
    <row r="13" customFormat="false" ht="15" hidden="false" customHeight="false" outlineLevel="0" collapsed="false">
      <c r="A13" s="51" t="n">
        <v>9</v>
      </c>
      <c r="B13" s="10" t="n">
        <v>866627</v>
      </c>
      <c r="C13" s="11" t="s">
        <v>514</v>
      </c>
      <c r="D13" s="12" t="n">
        <v>36624</v>
      </c>
      <c r="E13" s="11"/>
      <c r="F13" s="11"/>
      <c r="G13" s="11" t="s">
        <v>515</v>
      </c>
      <c r="H13" s="11" t="n">
        <v>9013132</v>
      </c>
      <c r="I13" s="11" t="n">
        <v>7094569</v>
      </c>
      <c r="J13" s="11" t="n">
        <v>4245</v>
      </c>
      <c r="K13" s="11" t="s">
        <v>30</v>
      </c>
      <c r="L13" s="11" t="s">
        <v>296</v>
      </c>
      <c r="M13" s="24" t="n">
        <v>45790</v>
      </c>
      <c r="N13" s="25" t="n">
        <f aca="false">INT((M13-D13)/365.25)</f>
        <v>25</v>
      </c>
      <c r="O13" s="12" t="s">
        <v>22</v>
      </c>
    </row>
    <row r="14" customFormat="false" ht="15" hidden="false" customHeight="false" outlineLevel="0" collapsed="false">
      <c r="A14" s="51" t="n">
        <v>10</v>
      </c>
      <c r="B14" s="10" t="n">
        <v>868303</v>
      </c>
      <c r="C14" s="11" t="s">
        <v>1006</v>
      </c>
      <c r="D14" s="12" t="n">
        <v>32427</v>
      </c>
      <c r="E14" s="11"/>
      <c r="F14" s="11"/>
      <c r="G14" s="11" t="s">
        <v>1007</v>
      </c>
      <c r="H14" s="11" t="n">
        <v>8044063</v>
      </c>
      <c r="I14" s="11" t="n">
        <v>65097</v>
      </c>
      <c r="J14" s="11" t="n">
        <v>75</v>
      </c>
      <c r="K14" s="11" t="s">
        <v>30</v>
      </c>
      <c r="L14" s="11" t="s">
        <v>296</v>
      </c>
      <c r="M14" s="24" t="n">
        <v>45790</v>
      </c>
      <c r="N14" s="25" t="n">
        <f aca="false">INT((M14-D14)/365.25)</f>
        <v>36</v>
      </c>
      <c r="O14" s="12" t="s">
        <v>22</v>
      </c>
    </row>
    <row r="15" customFormat="false" ht="15" hidden="false" customHeight="false" outlineLevel="0" collapsed="false">
      <c r="A15" s="51" t="n">
        <v>11</v>
      </c>
      <c r="B15" s="10" t="n">
        <v>843558</v>
      </c>
      <c r="C15" s="11" t="s">
        <v>1008</v>
      </c>
      <c r="D15" s="12" t="n">
        <v>33227</v>
      </c>
      <c r="E15" s="11"/>
      <c r="F15" s="11"/>
      <c r="G15" s="11" t="s">
        <v>1009</v>
      </c>
      <c r="H15" s="11" t="n">
        <v>6439355</v>
      </c>
      <c r="I15" s="11" t="n">
        <v>77800</v>
      </c>
      <c r="J15" s="11" t="n">
        <v>2225</v>
      </c>
      <c r="K15" s="11" t="s">
        <v>22</v>
      </c>
      <c r="L15" s="11" t="s">
        <v>296</v>
      </c>
      <c r="M15" s="24" t="n">
        <v>45790</v>
      </c>
      <c r="N15" s="25" t="n">
        <f aca="false">INT((M15-D15)/365.25)</f>
        <v>34</v>
      </c>
      <c r="O15" s="12" t="s">
        <v>22</v>
      </c>
    </row>
    <row r="16" customFormat="false" ht="15" hidden="false" customHeight="false" outlineLevel="0" collapsed="false">
      <c r="A16" s="51" t="n">
        <v>12</v>
      </c>
      <c r="B16" s="10" t="n">
        <v>868305</v>
      </c>
      <c r="C16" s="11" t="s">
        <v>1010</v>
      </c>
      <c r="D16" s="12" t="n">
        <v>26703</v>
      </c>
      <c r="E16" s="11"/>
      <c r="F16" s="11"/>
      <c r="G16" s="11" t="s">
        <v>1011</v>
      </c>
      <c r="H16" s="11" t="n">
        <v>4730093</v>
      </c>
      <c r="I16" s="11" t="n">
        <v>7804472</v>
      </c>
      <c r="J16" s="11" t="n">
        <v>3404</v>
      </c>
      <c r="K16" s="11" t="s">
        <v>22</v>
      </c>
      <c r="L16" s="11" t="s">
        <v>296</v>
      </c>
      <c r="M16" s="24" t="n">
        <v>45790</v>
      </c>
      <c r="N16" s="25" t="n">
        <f aca="false">INT((M16-D16)/365.25)</f>
        <v>52</v>
      </c>
      <c r="O16" s="12" t="s">
        <v>22</v>
      </c>
    </row>
    <row r="17" customFormat="false" ht="15" hidden="false" customHeight="false" outlineLevel="0" collapsed="false">
      <c r="A17" s="51" t="n">
        <v>13</v>
      </c>
      <c r="B17" s="10" t="n">
        <v>868313</v>
      </c>
      <c r="C17" s="11" t="s">
        <v>1012</v>
      </c>
      <c r="D17" s="12" t="n">
        <v>39126</v>
      </c>
      <c r="E17" s="11"/>
      <c r="F17" s="11"/>
      <c r="G17" s="11" t="s">
        <v>1013</v>
      </c>
      <c r="H17" s="34" t="s">
        <v>992</v>
      </c>
      <c r="I17" s="11" t="n">
        <v>1100441</v>
      </c>
      <c r="J17" s="11" t="n">
        <v>5222</v>
      </c>
      <c r="K17" s="11" t="s">
        <v>30</v>
      </c>
      <c r="L17" s="11" t="s">
        <v>296</v>
      </c>
      <c r="M17" s="24" t="n">
        <v>45790</v>
      </c>
      <c r="N17" s="25" t="n">
        <f aca="false">INT((M17-D17)/365.25)</f>
        <v>18</v>
      </c>
      <c r="O17" s="12" t="s">
        <v>22</v>
      </c>
    </row>
    <row r="18" customFormat="false" ht="15" hidden="false" customHeight="false" outlineLevel="0" collapsed="false">
      <c r="A18" s="51" t="n">
        <v>14</v>
      </c>
      <c r="B18" s="10" t="n">
        <v>868288</v>
      </c>
      <c r="C18" s="11" t="s">
        <v>1014</v>
      </c>
      <c r="D18" s="12" t="n">
        <v>33415</v>
      </c>
      <c r="E18" s="11"/>
      <c r="F18" s="11"/>
      <c r="G18" s="11" t="s">
        <v>1015</v>
      </c>
      <c r="H18" s="11" t="n">
        <v>7581300</v>
      </c>
      <c r="I18" s="11" t="n">
        <v>742</v>
      </c>
      <c r="J18" s="11"/>
      <c r="K18" s="11" t="s">
        <v>30</v>
      </c>
      <c r="L18" s="11" t="s">
        <v>296</v>
      </c>
      <c r="M18" s="24" t="n">
        <v>45790</v>
      </c>
      <c r="N18" s="25" t="n">
        <f aca="false">INT((M18-D18)/365.25)</f>
        <v>33</v>
      </c>
      <c r="O18" s="12" t="s">
        <v>22</v>
      </c>
    </row>
    <row r="19" customFormat="false" ht="15" hidden="false" customHeight="false" outlineLevel="0" collapsed="false">
      <c r="A19" s="51" t="n">
        <v>15</v>
      </c>
      <c r="B19" s="10" t="n">
        <v>868300</v>
      </c>
      <c r="C19" s="11" t="s">
        <v>1016</v>
      </c>
      <c r="D19" s="12" t="n">
        <v>33388</v>
      </c>
      <c r="E19" s="11"/>
      <c r="F19" s="11"/>
      <c r="G19" s="11" t="s">
        <v>1017</v>
      </c>
      <c r="H19" s="11" t="s">
        <v>1018</v>
      </c>
      <c r="I19" s="11" t="n">
        <v>24672</v>
      </c>
      <c r="J19" s="11" t="n">
        <v>104</v>
      </c>
      <c r="K19" s="11" t="s">
        <v>30</v>
      </c>
      <c r="L19" s="11" t="s">
        <v>296</v>
      </c>
      <c r="M19" s="24" t="n">
        <v>45790</v>
      </c>
      <c r="N19" s="25" t="n">
        <f aca="false">INT((M19-D19)/365.25)</f>
        <v>33</v>
      </c>
      <c r="O19" s="12" t="s">
        <v>22</v>
      </c>
    </row>
    <row r="20" customFormat="false" ht="15" hidden="false" customHeight="false" outlineLevel="0" collapsed="false">
      <c r="A20" s="51" t="n">
        <v>16</v>
      </c>
      <c r="B20" s="10" t="n">
        <v>869598</v>
      </c>
      <c r="C20" s="11" t="s">
        <v>1019</v>
      </c>
      <c r="D20" s="12" t="n">
        <v>38571</v>
      </c>
      <c r="E20" s="11"/>
      <c r="F20" s="11"/>
      <c r="G20" s="11" t="s">
        <v>1020</v>
      </c>
      <c r="H20" s="34" t="s">
        <v>1021</v>
      </c>
      <c r="I20" s="11" t="n">
        <v>1102147</v>
      </c>
      <c r="J20" s="11" t="n">
        <v>8261</v>
      </c>
      <c r="K20" s="11" t="s">
        <v>30</v>
      </c>
      <c r="L20" s="11" t="s">
        <v>296</v>
      </c>
      <c r="M20" s="24" t="n">
        <v>45790</v>
      </c>
      <c r="N20" s="25" t="n">
        <f aca="false">INT((M20-D20)/365.25)</f>
        <v>19</v>
      </c>
      <c r="O20" s="12" t="s">
        <v>22</v>
      </c>
    </row>
    <row r="21" customFormat="false" ht="15" hidden="false" customHeight="false" outlineLevel="0" collapsed="false">
      <c r="A21" s="51" t="n">
        <v>17</v>
      </c>
      <c r="B21" s="10" t="n">
        <v>868291</v>
      </c>
      <c r="C21" s="11" t="s">
        <v>1022</v>
      </c>
      <c r="D21" s="12" t="n">
        <v>35700</v>
      </c>
      <c r="E21" s="11"/>
      <c r="F21" s="11"/>
      <c r="G21" s="11" t="s">
        <v>1023</v>
      </c>
      <c r="H21" s="11" t="n">
        <v>6511016</v>
      </c>
      <c r="I21" s="11" t="n">
        <v>9888559</v>
      </c>
      <c r="J21" s="11" t="n">
        <v>50</v>
      </c>
      <c r="K21" s="11" t="s">
        <v>22</v>
      </c>
      <c r="L21" s="11" t="s">
        <v>296</v>
      </c>
      <c r="M21" s="24" t="n">
        <v>45790</v>
      </c>
      <c r="N21" s="25" t="n">
        <f aca="false">INT((M21-D21)/365.25)</f>
        <v>27</v>
      </c>
      <c r="O21" s="12" t="s">
        <v>22</v>
      </c>
    </row>
    <row r="22" customFormat="false" ht="15" hidden="false" customHeight="false" outlineLevel="0" collapsed="false">
      <c r="A22" s="51" t="n">
        <v>18</v>
      </c>
      <c r="B22" s="10" t="n">
        <v>868302</v>
      </c>
      <c r="C22" s="11" t="s">
        <v>1024</v>
      </c>
      <c r="D22" s="12" t="n">
        <v>32416</v>
      </c>
      <c r="E22" s="11"/>
      <c r="F22" s="11"/>
      <c r="G22" s="11" t="s">
        <v>1025</v>
      </c>
      <c r="H22" s="11" t="n">
        <v>7916380</v>
      </c>
      <c r="I22" s="11" t="n">
        <v>80048</v>
      </c>
      <c r="J22" s="11" t="n">
        <v>69</v>
      </c>
      <c r="K22" s="11" t="s">
        <v>30</v>
      </c>
      <c r="L22" s="11" t="s">
        <v>296</v>
      </c>
      <c r="M22" s="24" t="n">
        <v>45790</v>
      </c>
      <c r="N22" s="25" t="n">
        <f aca="false">INT((M22-D22)/365.25)</f>
        <v>36</v>
      </c>
      <c r="O22" s="12" t="s">
        <v>22</v>
      </c>
    </row>
    <row r="23" customFormat="false" ht="15" hidden="false" customHeight="false" outlineLevel="0" collapsed="false">
      <c r="A23" s="51" t="n">
        <v>19</v>
      </c>
      <c r="B23" s="10" t="n">
        <v>868298</v>
      </c>
      <c r="C23" s="11" t="s">
        <v>1026</v>
      </c>
      <c r="D23" s="12" t="n">
        <v>39079</v>
      </c>
      <c r="E23" s="11"/>
      <c r="F23" s="11"/>
      <c r="G23" s="11" t="s">
        <v>1027</v>
      </c>
      <c r="H23" s="11" t="n">
        <v>10767319</v>
      </c>
      <c r="I23" s="11" t="n">
        <v>727706</v>
      </c>
      <c r="J23" s="11" t="n">
        <v>3228</v>
      </c>
      <c r="K23" s="11" t="s">
        <v>22</v>
      </c>
      <c r="L23" s="11" t="s">
        <v>296</v>
      </c>
      <c r="M23" s="24" t="n">
        <v>45790</v>
      </c>
      <c r="N23" s="25" t="n">
        <f aca="false">INT((M23-D23)/365.25)</f>
        <v>18</v>
      </c>
      <c r="O23" s="12" t="s">
        <v>22</v>
      </c>
    </row>
    <row r="24" customFormat="false" ht="15" hidden="false" customHeight="false" outlineLevel="0" collapsed="false">
      <c r="A24" s="51" t="n">
        <v>20</v>
      </c>
      <c r="B24" s="10" t="n">
        <v>866921</v>
      </c>
      <c r="C24" s="11" t="s">
        <v>521</v>
      </c>
      <c r="D24" s="12" t="n">
        <v>25884</v>
      </c>
      <c r="E24" s="11"/>
      <c r="F24" s="11"/>
      <c r="G24" s="11" t="s">
        <v>522</v>
      </c>
      <c r="H24" s="11" t="n">
        <v>1987871</v>
      </c>
      <c r="I24" s="11" t="n">
        <v>29458</v>
      </c>
      <c r="J24" s="11" t="n">
        <v>23</v>
      </c>
      <c r="K24" s="11" t="s">
        <v>30</v>
      </c>
      <c r="L24" s="11" t="s">
        <v>296</v>
      </c>
      <c r="M24" s="24" t="n">
        <v>45790</v>
      </c>
      <c r="N24" s="25" t="n">
        <f aca="false">INT((M24-D24)/365.25)</f>
        <v>54</v>
      </c>
      <c r="O24" s="12" t="s">
        <v>22</v>
      </c>
    </row>
    <row r="25" customFormat="false" ht="15" hidden="false" customHeight="false" outlineLevel="0" collapsed="false">
      <c r="A25" s="51" t="n">
        <v>21</v>
      </c>
      <c r="B25" s="10" t="n">
        <v>868307</v>
      </c>
      <c r="C25" s="11" t="s">
        <v>1028</v>
      </c>
      <c r="D25" s="12" t="n">
        <v>36757</v>
      </c>
      <c r="E25" s="11"/>
      <c r="F25" s="11"/>
      <c r="G25" s="11" t="s">
        <v>1029</v>
      </c>
      <c r="H25" s="11" t="n">
        <v>8478976</v>
      </c>
      <c r="I25" s="11" t="n">
        <v>1158606</v>
      </c>
      <c r="J25" s="11" t="n">
        <v>7420</v>
      </c>
      <c r="K25" s="11" t="s">
        <v>30</v>
      </c>
      <c r="L25" s="11" t="s">
        <v>296</v>
      </c>
      <c r="M25" s="24" t="n">
        <v>45790</v>
      </c>
      <c r="N25" s="25" t="n">
        <f aca="false">INT((M25-D25)/365.25)</f>
        <v>24</v>
      </c>
      <c r="O25" s="12" t="s">
        <v>22</v>
      </c>
    </row>
    <row r="26" customFormat="false" ht="15" hidden="false" customHeight="false" outlineLevel="0" collapsed="false">
      <c r="A26" s="51" t="n">
        <v>22</v>
      </c>
      <c r="B26" s="10" t="n">
        <v>868299</v>
      </c>
      <c r="C26" s="11" t="s">
        <v>1030</v>
      </c>
      <c r="D26" s="12" t="n">
        <v>36463</v>
      </c>
      <c r="E26" s="11"/>
      <c r="F26" s="11"/>
      <c r="G26" s="11" t="s">
        <v>1031</v>
      </c>
      <c r="H26" s="34" t="s">
        <v>992</v>
      </c>
      <c r="I26" s="11" t="n">
        <v>6184121</v>
      </c>
      <c r="J26" s="11" t="n">
        <v>307</v>
      </c>
      <c r="K26" s="11" t="s">
        <v>22</v>
      </c>
      <c r="L26" s="11" t="s">
        <v>296</v>
      </c>
      <c r="M26" s="24" t="n">
        <v>45790</v>
      </c>
      <c r="N26" s="25" t="n">
        <f aca="false">INT((M26-D26)/365.25)</f>
        <v>25</v>
      </c>
      <c r="O26" s="12" t="s">
        <v>22</v>
      </c>
    </row>
    <row r="27" customFormat="false" ht="15" hidden="false" customHeight="false" outlineLevel="0" collapsed="false">
      <c r="A27" s="51" t="n">
        <v>23</v>
      </c>
      <c r="B27" s="10" t="n">
        <v>868292</v>
      </c>
      <c r="C27" s="11" t="s">
        <v>1032</v>
      </c>
      <c r="D27" s="12" t="n">
        <v>30650</v>
      </c>
      <c r="E27" s="11"/>
      <c r="F27" s="11"/>
      <c r="G27" s="11" t="s">
        <v>1033</v>
      </c>
      <c r="H27" s="11" t="n">
        <v>6271319</v>
      </c>
      <c r="I27" s="11" t="n">
        <v>49124</v>
      </c>
      <c r="J27" s="11" t="n">
        <v>74</v>
      </c>
      <c r="K27" s="11" t="s">
        <v>22</v>
      </c>
      <c r="L27" s="11" t="s">
        <v>296</v>
      </c>
      <c r="M27" s="24" t="n">
        <v>45790</v>
      </c>
      <c r="N27" s="25" t="n">
        <f aca="false">INT((M27-D27)/365.25)</f>
        <v>41</v>
      </c>
      <c r="O27" s="12" t="s">
        <v>22</v>
      </c>
    </row>
    <row r="28" customFormat="false" ht="15" hidden="false" customHeight="false" outlineLevel="0" collapsed="false">
      <c r="A28" s="51" t="n">
        <v>24</v>
      </c>
      <c r="B28" s="10" t="n">
        <v>868289</v>
      </c>
      <c r="C28" s="11" t="s">
        <v>1034</v>
      </c>
      <c r="D28" s="12" t="n">
        <v>34284</v>
      </c>
      <c r="E28" s="11"/>
      <c r="F28" s="11"/>
      <c r="G28" s="11" t="s">
        <v>1035</v>
      </c>
      <c r="H28" s="11" t="n">
        <v>8728368</v>
      </c>
      <c r="I28" s="11" t="n">
        <v>1003916</v>
      </c>
      <c r="J28" s="11" t="n">
        <v>6430</v>
      </c>
      <c r="K28" s="11" t="s">
        <v>30</v>
      </c>
      <c r="L28" s="11" t="s">
        <v>296</v>
      </c>
      <c r="M28" s="24" t="n">
        <v>45790</v>
      </c>
      <c r="N28" s="25" t="n">
        <f aca="false">INT((M28-D28)/365.25)</f>
        <v>31</v>
      </c>
      <c r="O28" s="12" t="s">
        <v>22</v>
      </c>
    </row>
    <row r="29" customFormat="false" ht="15" hidden="false" customHeight="false" outlineLevel="0" collapsed="false">
      <c r="A29" s="51" t="n">
        <v>25</v>
      </c>
      <c r="B29" s="10" t="n">
        <v>869124</v>
      </c>
      <c r="C29" s="11" t="s">
        <v>1036</v>
      </c>
      <c r="D29" s="12" t="n">
        <v>32780</v>
      </c>
      <c r="E29" s="11"/>
      <c r="F29" s="11"/>
      <c r="G29" s="10" t="s">
        <v>1037</v>
      </c>
      <c r="H29" s="34" t="s">
        <v>1038</v>
      </c>
      <c r="I29" s="11" t="n">
        <v>53015</v>
      </c>
      <c r="J29" s="11" t="n">
        <v>85</v>
      </c>
      <c r="K29" s="11" t="s">
        <v>30</v>
      </c>
      <c r="L29" s="11" t="s">
        <v>296</v>
      </c>
      <c r="M29" s="24" t="n">
        <v>45790</v>
      </c>
      <c r="N29" s="25" t="n">
        <f aca="false">INT((M29-D29)/365.25)</f>
        <v>35</v>
      </c>
      <c r="O29" s="12" t="s">
        <v>22</v>
      </c>
    </row>
    <row r="30" customFormat="false" ht="15" hidden="false" customHeight="false" outlineLevel="0" collapsed="false">
      <c r="A30" s="51" t="n">
        <v>26</v>
      </c>
      <c r="B30" s="10" t="n">
        <v>854816</v>
      </c>
      <c r="C30" s="11" t="s">
        <v>1039</v>
      </c>
      <c r="D30" s="12" t="n">
        <v>37052</v>
      </c>
      <c r="E30" s="11"/>
      <c r="F30" s="11"/>
      <c r="G30" s="11" t="s">
        <v>1040</v>
      </c>
      <c r="H30" s="11" t="n">
        <v>10447449</v>
      </c>
      <c r="I30" s="11" t="n">
        <v>1403645</v>
      </c>
      <c r="J30" s="11" t="n">
        <v>3459</v>
      </c>
      <c r="K30" s="11" t="s">
        <v>22</v>
      </c>
      <c r="L30" s="11" t="s">
        <v>296</v>
      </c>
      <c r="M30" s="24" t="n">
        <v>45790</v>
      </c>
      <c r="N30" s="25" t="n">
        <f aca="false">INT((M30-D30)/365.25)</f>
        <v>23</v>
      </c>
      <c r="O30" s="12" t="s">
        <v>22</v>
      </c>
    </row>
    <row r="31" customFormat="false" ht="15" hidden="false" customHeight="false" outlineLevel="0" collapsed="false">
      <c r="A31" s="51" t="n">
        <v>27</v>
      </c>
      <c r="B31" s="10" t="n">
        <v>869599</v>
      </c>
      <c r="C31" s="11" t="s">
        <v>1041</v>
      </c>
      <c r="D31" s="12" t="n">
        <v>27367</v>
      </c>
      <c r="E31" s="11"/>
      <c r="F31" s="11"/>
      <c r="G31" s="11" t="s">
        <v>1042</v>
      </c>
      <c r="H31" s="11" t="n">
        <v>5671623</v>
      </c>
      <c r="I31" s="11" t="n">
        <v>30090</v>
      </c>
      <c r="J31" s="11" t="n">
        <v>5203</v>
      </c>
      <c r="K31" s="11" t="s">
        <v>30</v>
      </c>
      <c r="L31" s="11" t="s">
        <v>296</v>
      </c>
      <c r="M31" s="24" t="n">
        <v>45790</v>
      </c>
      <c r="N31" s="25" t="n">
        <f aca="false">INT((M31-D31)/365.25)</f>
        <v>50</v>
      </c>
      <c r="O31" s="12" t="s">
        <v>22</v>
      </c>
    </row>
    <row r="32" customFormat="false" ht="15" hidden="false" customHeight="false" outlineLevel="0" collapsed="false">
      <c r="A32" s="51" t="n">
        <v>28</v>
      </c>
      <c r="B32" s="10" t="n">
        <v>854815</v>
      </c>
      <c r="C32" s="11" t="s">
        <v>1043</v>
      </c>
      <c r="D32" s="12" t="n">
        <v>29778</v>
      </c>
      <c r="E32" s="11"/>
      <c r="F32" s="11"/>
      <c r="G32" s="11" t="s">
        <v>1044</v>
      </c>
      <c r="H32" s="11" t="n">
        <v>6267076</v>
      </c>
      <c r="I32" s="11" t="n">
        <v>53191</v>
      </c>
      <c r="J32" s="11" t="n">
        <v>104</v>
      </c>
      <c r="K32" s="11" t="s">
        <v>30</v>
      </c>
      <c r="L32" s="11" t="s">
        <v>296</v>
      </c>
      <c r="M32" s="24" t="n">
        <v>45790</v>
      </c>
      <c r="N32" s="25" t="n">
        <f aca="false">INT((M32-D32)/365.25)</f>
        <v>43</v>
      </c>
      <c r="O32" s="12" t="s">
        <v>22</v>
      </c>
    </row>
    <row r="33" customFormat="false" ht="15" hidden="false" customHeight="false" outlineLevel="0" collapsed="false">
      <c r="A33" s="51" t="n">
        <v>29</v>
      </c>
      <c r="B33" s="10" t="n">
        <v>868315</v>
      </c>
      <c r="C33" s="11" t="s">
        <v>1045</v>
      </c>
      <c r="D33" s="12" t="n">
        <v>35327</v>
      </c>
      <c r="E33" s="11"/>
      <c r="F33" s="11"/>
      <c r="G33" s="11" t="s">
        <v>1046</v>
      </c>
      <c r="H33" s="34" t="s">
        <v>997</v>
      </c>
      <c r="I33" s="11" t="n">
        <v>91965</v>
      </c>
      <c r="J33" s="11" t="n">
        <v>73</v>
      </c>
      <c r="K33" s="11" t="s">
        <v>30</v>
      </c>
      <c r="L33" s="11" t="s">
        <v>296</v>
      </c>
      <c r="M33" s="24" t="n">
        <v>45790</v>
      </c>
      <c r="N33" s="25" t="n">
        <f aca="false">INT((M33-D33)/365.25)</f>
        <v>28</v>
      </c>
      <c r="O33" s="12" t="s">
        <v>22</v>
      </c>
    </row>
    <row r="34" customFormat="false" ht="15" hidden="false" customHeight="false" outlineLevel="0" collapsed="false">
      <c r="A34" s="51" t="n">
        <v>30</v>
      </c>
      <c r="B34" s="10" t="n">
        <v>868316</v>
      </c>
      <c r="C34" s="11" t="s">
        <v>1047</v>
      </c>
      <c r="D34" s="12" t="n">
        <v>31586</v>
      </c>
      <c r="E34" s="11"/>
      <c r="F34" s="11"/>
      <c r="G34" s="11" t="s">
        <v>1048</v>
      </c>
      <c r="H34" s="11" t="n">
        <v>6905969</v>
      </c>
      <c r="I34" s="11" t="n">
        <v>72362</v>
      </c>
      <c r="J34" s="11" t="n">
        <v>79</v>
      </c>
      <c r="K34" s="11" t="s">
        <v>22</v>
      </c>
      <c r="L34" s="11" t="s">
        <v>296</v>
      </c>
      <c r="M34" s="24" t="n">
        <v>45790</v>
      </c>
      <c r="N34" s="25" t="n">
        <f aca="false">INT((M34-D34)/365.25)</f>
        <v>38</v>
      </c>
      <c r="O34" s="12" t="s">
        <v>22</v>
      </c>
    </row>
    <row r="35" customFormat="false" ht="15" hidden="false" customHeight="false" outlineLevel="0" collapsed="false">
      <c r="A35" s="51" t="n">
        <v>31</v>
      </c>
      <c r="B35" s="10" t="n">
        <v>868285</v>
      </c>
      <c r="C35" s="11" t="s">
        <v>1049</v>
      </c>
      <c r="D35" s="12" t="n">
        <v>35992</v>
      </c>
      <c r="E35" s="11"/>
      <c r="F35" s="11"/>
      <c r="G35" s="11" t="s">
        <v>1050</v>
      </c>
      <c r="H35" s="11" t="n">
        <v>7894765</v>
      </c>
      <c r="I35" s="11" t="n">
        <v>617</v>
      </c>
      <c r="J35" s="11" t="n">
        <v>751</v>
      </c>
      <c r="K35" s="11" t="s">
        <v>30</v>
      </c>
      <c r="L35" s="11" t="s">
        <v>296</v>
      </c>
      <c r="M35" s="24" t="n">
        <v>45790</v>
      </c>
      <c r="N35" s="25" t="n">
        <f aca="false">INT((M35-D35)/365.25)</f>
        <v>26</v>
      </c>
      <c r="O35" s="12" t="s">
        <v>22</v>
      </c>
    </row>
    <row r="36" customFormat="false" ht="15" hidden="false" customHeight="false" outlineLevel="0" collapsed="false">
      <c r="A36" s="51" t="n">
        <v>32</v>
      </c>
      <c r="B36" s="10" t="n">
        <v>855040</v>
      </c>
      <c r="C36" s="11" t="s">
        <v>1051</v>
      </c>
      <c r="D36" s="12" t="n">
        <v>31126</v>
      </c>
      <c r="E36" s="11"/>
      <c r="F36" s="11"/>
      <c r="G36" s="11" t="s">
        <v>1052</v>
      </c>
      <c r="H36" s="11" t="n">
        <v>8625766</v>
      </c>
      <c r="I36" s="11" t="n">
        <v>5634612</v>
      </c>
      <c r="J36" s="11" t="n">
        <v>50</v>
      </c>
      <c r="K36" s="11" t="s">
        <v>30</v>
      </c>
      <c r="L36" s="11" t="s">
        <v>296</v>
      </c>
      <c r="M36" s="24" t="n">
        <v>45790</v>
      </c>
      <c r="N36" s="25" t="n">
        <f aca="false">INT((M36-D36)/365.25)</f>
        <v>40</v>
      </c>
      <c r="O36" s="12" t="s">
        <v>22</v>
      </c>
    </row>
    <row r="37" customFormat="false" ht="15" hidden="false" customHeight="false" outlineLevel="0" collapsed="false">
      <c r="A37" s="51" t="n">
        <v>33</v>
      </c>
      <c r="B37" s="10" t="n">
        <v>868334</v>
      </c>
      <c r="C37" s="11" t="s">
        <v>1053</v>
      </c>
      <c r="D37" s="12" t="n">
        <v>30875</v>
      </c>
      <c r="E37" s="11"/>
      <c r="F37" s="11"/>
      <c r="G37" s="11" t="s">
        <v>1054</v>
      </c>
      <c r="H37" s="11" t="n">
        <v>6112467</v>
      </c>
      <c r="I37" s="11" t="n">
        <v>1151171</v>
      </c>
      <c r="J37" s="11" t="n">
        <v>4255</v>
      </c>
      <c r="K37" s="11" t="s">
        <v>30</v>
      </c>
      <c r="L37" s="11" t="s">
        <v>296</v>
      </c>
      <c r="M37" s="24" t="n">
        <v>45790</v>
      </c>
      <c r="N37" s="25" t="n">
        <f aca="false">INT((M37-D37)/365.25)</f>
        <v>40</v>
      </c>
      <c r="O37" s="12" t="s">
        <v>22</v>
      </c>
    </row>
    <row r="38" customFormat="false" ht="15" hidden="false" customHeight="false" outlineLevel="0" collapsed="false">
      <c r="A38" s="51" t="n">
        <v>34</v>
      </c>
      <c r="B38" s="52" t="n">
        <v>855979</v>
      </c>
      <c r="C38" s="53" t="s">
        <v>1055</v>
      </c>
      <c r="D38" s="12" t="n">
        <v>32604</v>
      </c>
      <c r="E38" s="11"/>
      <c r="F38" s="11"/>
      <c r="G38" s="11" t="s">
        <v>1056</v>
      </c>
      <c r="H38" s="11" t="n">
        <v>57787584</v>
      </c>
      <c r="I38" s="11" t="n">
        <v>982326</v>
      </c>
      <c r="J38" s="11" t="n">
        <v>1490</v>
      </c>
      <c r="K38" s="11" t="s">
        <v>22</v>
      </c>
      <c r="L38" s="11" t="s">
        <v>296</v>
      </c>
      <c r="M38" s="24" t="n">
        <v>45790</v>
      </c>
      <c r="N38" s="25" t="n">
        <f aca="false">INT((M38-D38)/365.25)</f>
        <v>36</v>
      </c>
      <c r="O38" s="12" t="s">
        <v>22</v>
      </c>
    </row>
    <row r="39" customFormat="false" ht="15" hidden="false" customHeight="false" outlineLevel="0" collapsed="false">
      <c r="A39" s="51" t="n">
        <v>35</v>
      </c>
      <c r="B39" s="10" t="n">
        <v>868268</v>
      </c>
      <c r="C39" s="11" t="s">
        <v>1057</v>
      </c>
      <c r="D39" s="12" t="n">
        <v>31179</v>
      </c>
      <c r="E39" s="11"/>
      <c r="F39" s="11"/>
      <c r="G39" s="11" t="s">
        <v>1058</v>
      </c>
      <c r="H39" s="11" t="s">
        <v>1059</v>
      </c>
      <c r="I39" s="11" t="n">
        <v>81996</v>
      </c>
      <c r="J39" s="11" t="n">
        <v>334</v>
      </c>
      <c r="K39" s="11" t="s">
        <v>30</v>
      </c>
      <c r="L39" s="11" t="s">
        <v>296</v>
      </c>
      <c r="M39" s="24" t="n">
        <v>45790</v>
      </c>
      <c r="N39" s="25" t="n">
        <f aca="false">INT((M39-D39)/365.25)</f>
        <v>40</v>
      </c>
      <c r="O39" s="12" t="s">
        <v>22</v>
      </c>
    </row>
    <row r="40" customFormat="false" ht="15" hidden="false" customHeight="false" outlineLevel="0" collapsed="false">
      <c r="A40" s="51" t="n">
        <v>36</v>
      </c>
      <c r="B40" s="10" t="n">
        <v>868317</v>
      </c>
      <c r="C40" s="11" t="s">
        <v>1060</v>
      </c>
      <c r="D40" s="12" t="n">
        <v>36189</v>
      </c>
      <c r="E40" s="11"/>
      <c r="F40" s="11"/>
      <c r="G40" s="11" t="s">
        <v>1061</v>
      </c>
      <c r="H40" s="11" t="n">
        <v>8214215</v>
      </c>
      <c r="I40" s="11" t="n">
        <v>7039048</v>
      </c>
      <c r="J40" s="11" t="n">
        <v>6205</v>
      </c>
      <c r="K40" s="11" t="s">
        <v>30</v>
      </c>
      <c r="L40" s="11" t="s">
        <v>296</v>
      </c>
      <c r="M40" s="24" t="n">
        <v>45790</v>
      </c>
      <c r="N40" s="25" t="n">
        <f aca="false">INT((M40-D40)/365.25)</f>
        <v>26</v>
      </c>
      <c r="O40" s="12" t="s">
        <v>22</v>
      </c>
    </row>
    <row r="41" customFormat="false" ht="15" hidden="false" customHeight="false" outlineLevel="0" collapsed="false">
      <c r="A41" s="51" t="n">
        <v>37</v>
      </c>
      <c r="B41" s="10" t="n">
        <v>853508</v>
      </c>
      <c r="C41" s="11" t="s">
        <v>1062</v>
      </c>
      <c r="D41" s="12" t="n">
        <v>27202</v>
      </c>
      <c r="E41" s="11"/>
      <c r="F41" s="11"/>
      <c r="G41" s="11" t="s">
        <v>1063</v>
      </c>
      <c r="H41" s="11" t="n">
        <v>3158034</v>
      </c>
      <c r="I41" s="11" t="n">
        <v>6220486</v>
      </c>
      <c r="J41" s="11" t="n">
        <v>6253</v>
      </c>
      <c r="K41" s="11" t="s">
        <v>30</v>
      </c>
      <c r="L41" s="11" t="s">
        <v>296</v>
      </c>
      <c r="M41" s="24" t="n">
        <v>45790</v>
      </c>
      <c r="N41" s="25" t="n">
        <f aca="false">INT((M41-D41)/365.25)</f>
        <v>50</v>
      </c>
      <c r="O41" s="12" t="s">
        <v>22</v>
      </c>
    </row>
    <row r="42" customFormat="false" ht="15" hidden="false" customHeight="false" outlineLevel="0" collapsed="false">
      <c r="A42" s="51" t="n">
        <v>38</v>
      </c>
      <c r="B42" s="10" t="n">
        <v>853504</v>
      </c>
      <c r="C42" s="11" t="s">
        <v>1064</v>
      </c>
      <c r="D42" s="12" t="n">
        <v>28532</v>
      </c>
      <c r="E42" s="11"/>
      <c r="F42" s="11"/>
      <c r="G42" s="11" t="s">
        <v>1065</v>
      </c>
      <c r="H42" s="11" t="n">
        <v>5785019</v>
      </c>
      <c r="I42" s="11" t="n">
        <v>80586</v>
      </c>
      <c r="J42" s="11" t="n">
        <v>49</v>
      </c>
      <c r="K42" s="11" t="s">
        <v>30</v>
      </c>
      <c r="L42" s="11" t="s">
        <v>296</v>
      </c>
      <c r="M42" s="24" t="n">
        <v>45790</v>
      </c>
      <c r="N42" s="25" t="n">
        <f aca="false">INT((M42-D42)/365.25)</f>
        <v>47</v>
      </c>
      <c r="O42" s="12" t="s">
        <v>22</v>
      </c>
    </row>
    <row r="43" customFormat="false" ht="15" hidden="false" customHeight="false" outlineLevel="0" collapsed="false">
      <c r="A43" s="51" t="n">
        <v>39</v>
      </c>
      <c r="B43" s="10"/>
      <c r="C43" s="11" t="s">
        <v>1066</v>
      </c>
      <c r="D43" s="12" t="n">
        <v>31407</v>
      </c>
      <c r="E43" s="11"/>
      <c r="F43" s="11"/>
      <c r="G43" s="34" t="s">
        <v>1038</v>
      </c>
      <c r="H43" s="11" t="n">
        <v>6950454</v>
      </c>
      <c r="I43" s="11" t="n">
        <v>53279</v>
      </c>
      <c r="J43" s="11" t="n">
        <v>74</v>
      </c>
      <c r="K43" s="11" t="s">
        <v>30</v>
      </c>
      <c r="L43" s="11" t="s">
        <v>296</v>
      </c>
      <c r="M43" s="24" t="n">
        <v>45790</v>
      </c>
      <c r="N43" s="25" t="n">
        <f aca="false">INT((M43-D43)/365.25)</f>
        <v>39</v>
      </c>
      <c r="O43" s="12" t="s">
        <v>30</v>
      </c>
    </row>
    <row r="44" customFormat="false" ht="15" hidden="false" customHeight="false" outlineLevel="0" collapsed="false">
      <c r="A44" s="51" t="n">
        <v>40</v>
      </c>
      <c r="B44" s="10" t="n">
        <v>868279</v>
      </c>
      <c r="C44" s="11" t="s">
        <v>1067</v>
      </c>
      <c r="D44" s="12" t="n">
        <v>31442</v>
      </c>
      <c r="E44" s="11"/>
      <c r="F44" s="11"/>
      <c r="G44" s="11" t="s">
        <v>1068</v>
      </c>
      <c r="H44" s="11" t="n">
        <v>6320968</v>
      </c>
      <c r="I44" s="11" t="n">
        <v>6813666</v>
      </c>
      <c r="J44" s="11" t="n">
        <v>60</v>
      </c>
      <c r="K44" s="11" t="s">
        <v>30</v>
      </c>
      <c r="L44" s="11" t="s">
        <v>296</v>
      </c>
      <c r="M44" s="24" t="n">
        <v>45790</v>
      </c>
      <c r="N44" s="25" t="n">
        <f aca="false">INT((M44-D44)/365.25)</f>
        <v>39</v>
      </c>
      <c r="O44" s="12" t="s">
        <v>22</v>
      </c>
    </row>
    <row r="45" customFormat="false" ht="15" hidden="false" customHeight="false" outlineLevel="0" collapsed="false">
      <c r="A45" s="51" t="n">
        <v>41</v>
      </c>
      <c r="B45" s="10" t="n">
        <v>868265</v>
      </c>
      <c r="C45" s="11" t="s">
        <v>1069</v>
      </c>
      <c r="D45" s="12" t="n">
        <v>34181</v>
      </c>
      <c r="E45" s="11"/>
      <c r="F45" s="11"/>
      <c r="G45" s="11" t="s">
        <v>1070</v>
      </c>
      <c r="H45" s="11" t="n">
        <v>7407064</v>
      </c>
      <c r="I45" s="11" t="n">
        <v>343471</v>
      </c>
      <c r="J45" s="11" t="n">
        <v>2216</v>
      </c>
      <c r="K45" s="11" t="s">
        <v>22</v>
      </c>
      <c r="L45" s="11" t="s">
        <v>296</v>
      </c>
      <c r="M45" s="24" t="n">
        <v>45790</v>
      </c>
      <c r="N45" s="25" t="n">
        <f aca="false">INT((M45-D45)/365.25)</f>
        <v>31</v>
      </c>
      <c r="O45" s="12" t="s">
        <v>22</v>
      </c>
    </row>
    <row r="46" customFormat="false" ht="15" hidden="false" customHeight="false" outlineLevel="0" collapsed="false">
      <c r="A46" s="51" t="n">
        <v>42</v>
      </c>
      <c r="B46" s="10" t="n">
        <v>855975</v>
      </c>
      <c r="C46" s="11" t="s">
        <v>1071</v>
      </c>
      <c r="D46" s="12" t="n">
        <v>35370</v>
      </c>
      <c r="E46" s="11"/>
      <c r="F46" s="11"/>
      <c r="G46" s="11" t="s">
        <v>1072</v>
      </c>
      <c r="H46" s="11" t="n">
        <v>10265333</v>
      </c>
      <c r="I46" s="11" t="n">
        <v>8426655</v>
      </c>
      <c r="J46" s="11" t="n">
        <v>50</v>
      </c>
      <c r="K46" s="11" t="s">
        <v>30</v>
      </c>
      <c r="L46" s="11" t="s">
        <v>296</v>
      </c>
      <c r="M46" s="24" t="n">
        <v>45790</v>
      </c>
      <c r="N46" s="25" t="n">
        <f aca="false">INT((M46-D46)/365.25)</f>
        <v>28</v>
      </c>
      <c r="O46" s="12" t="s">
        <v>22</v>
      </c>
    </row>
    <row r="47" customFormat="false" ht="15" hidden="false" customHeight="false" outlineLevel="0" collapsed="false">
      <c r="A47" s="51" t="n">
        <v>43</v>
      </c>
      <c r="B47" s="10" t="n">
        <v>854799</v>
      </c>
      <c r="C47" s="34" t="s">
        <v>1073</v>
      </c>
      <c r="D47" s="12" t="n">
        <v>32771</v>
      </c>
      <c r="E47" s="11"/>
      <c r="F47" s="11"/>
      <c r="G47" s="11" t="s">
        <v>1074</v>
      </c>
      <c r="H47" s="11" t="n">
        <v>8245071</v>
      </c>
      <c r="I47" s="11" t="n">
        <v>900521</v>
      </c>
      <c r="J47" s="11" t="n">
        <v>6433</v>
      </c>
      <c r="K47" s="11" t="s">
        <v>30</v>
      </c>
      <c r="L47" s="11" t="s">
        <v>296</v>
      </c>
      <c r="M47" s="24" t="n">
        <v>45790</v>
      </c>
      <c r="N47" s="25" t="n">
        <f aca="false">INT((M47-D47)/365.25)</f>
        <v>35</v>
      </c>
      <c r="O47" s="12" t="s">
        <v>22</v>
      </c>
    </row>
  </sheetData>
  <mergeCells count="1">
    <mergeCell ref="A1:O2"/>
  </mergeCells>
  <conditionalFormatting sqref="N5:N47">
    <cfRule type="colorScale" priority="2">
      <colorScale>
        <cfvo type="num" val="17"/>
        <cfvo type="num" val="18"/>
        <color rgb="FFFF0000"/>
        <color rgb="FF92D050"/>
      </colorScale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2" activeCellId="0" sqref="B12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6.86"/>
    <col collapsed="false" customWidth="true" hidden="false" outlineLevel="0" max="3" min="3" style="0" width="32.14"/>
    <col collapsed="false" customWidth="true" hidden="false" outlineLevel="0" max="4" min="4" style="0" width="9"/>
    <col collapsed="false" customWidth="true" hidden="false" outlineLevel="0" max="5" min="5" style="0" width="15.15"/>
    <col collapsed="false" customWidth="true" hidden="false" outlineLevel="0" max="6" min="6" style="0" width="6.43"/>
    <col collapsed="false" customWidth="true" hidden="false" outlineLevel="0" max="7" min="7" style="0" width="13"/>
    <col collapsed="false" customWidth="true" hidden="false" outlineLevel="0" max="8" min="8" style="0" width="12.72"/>
    <col collapsed="false" customWidth="true" hidden="false" outlineLevel="0" max="9" min="9" style="0" width="8.29"/>
    <col collapsed="false" customWidth="true" hidden="false" outlineLevel="0" max="10" min="10" style="0" width="5"/>
    <col collapsed="false" customWidth="true" hidden="false" outlineLevel="0" max="11" min="11" style="0" width="5.29"/>
    <col collapsed="false" customWidth="true" hidden="false" outlineLevel="0" max="12" min="12" style="0" width="14.29"/>
    <col collapsed="false" customWidth="true" hidden="false" outlineLevel="0" max="13" min="13" style="0" width="9.29"/>
    <col collapsed="false" customWidth="true" hidden="false" outlineLevel="0" max="14" min="14" style="0" width="5.71"/>
    <col collapsed="false" customWidth="true" hidden="false" outlineLevel="0" max="15" min="15" style="0" width="6.29"/>
  </cols>
  <sheetData>
    <row r="1" customFormat="false" ht="15" hidden="false" customHeight="false" outlineLevel="0" collapsed="false">
      <c r="A1" s="54" t="s">
        <v>1075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</row>
    <row r="2" customFormat="false" ht="15" hidden="false" customHeight="false" outlineLevel="0" collapsed="false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</row>
    <row r="3" customFormat="false" ht="15" hidden="false" customHeight="false" outlineLevel="0" collapsed="false">
      <c r="A3" s="43"/>
      <c r="B3" s="44" t="s">
        <v>1</v>
      </c>
      <c r="C3" s="44" t="s">
        <v>2</v>
      </c>
      <c r="D3" s="44" t="s">
        <v>3</v>
      </c>
      <c r="E3" s="44" t="s">
        <v>4</v>
      </c>
      <c r="F3" s="44" t="s">
        <v>5</v>
      </c>
      <c r="G3" s="45" t="s">
        <v>6</v>
      </c>
      <c r="H3" s="44" t="s">
        <v>7</v>
      </c>
      <c r="I3" s="44" t="s">
        <v>8</v>
      </c>
      <c r="J3" s="44" t="s">
        <v>9</v>
      </c>
      <c r="K3" s="44" t="s">
        <v>10</v>
      </c>
      <c r="L3" s="44" t="s">
        <v>11</v>
      </c>
      <c r="M3" s="44" t="s">
        <v>12</v>
      </c>
      <c r="N3" s="44" t="s">
        <v>13</v>
      </c>
      <c r="O3" s="44" t="s">
        <v>16</v>
      </c>
    </row>
    <row r="4" customFormat="false" ht="15" hidden="false" customHeight="false" outlineLevel="0" collapsed="false">
      <c r="A4" s="46"/>
      <c r="B4" s="47"/>
      <c r="C4" s="44" t="s">
        <v>1076</v>
      </c>
      <c r="D4" s="48"/>
      <c r="E4" s="47"/>
      <c r="F4" s="47"/>
      <c r="G4" s="47"/>
      <c r="H4" s="47"/>
      <c r="I4" s="47"/>
      <c r="J4" s="47"/>
      <c r="K4" s="47"/>
      <c r="L4" s="49"/>
      <c r="M4" s="50"/>
      <c r="N4" s="44"/>
      <c r="O4" s="44"/>
    </row>
    <row r="5" customFormat="false" ht="15" hidden="false" customHeight="false" outlineLevel="0" collapsed="false">
      <c r="A5" s="51" t="n">
        <v>1</v>
      </c>
      <c r="B5" s="10" t="n">
        <v>868930</v>
      </c>
      <c r="C5" s="11" t="s">
        <v>1077</v>
      </c>
      <c r="D5" s="12" t="n">
        <v>38119</v>
      </c>
      <c r="E5" s="11"/>
      <c r="F5" s="11"/>
      <c r="G5" s="11" t="s">
        <v>1078</v>
      </c>
      <c r="H5" s="11" t="s">
        <v>1079</v>
      </c>
      <c r="I5" s="11" t="n">
        <v>966784</v>
      </c>
      <c r="J5" s="11" t="n">
        <v>5341</v>
      </c>
      <c r="K5" s="11" t="s">
        <v>30</v>
      </c>
      <c r="L5" s="11" t="s">
        <v>296</v>
      </c>
      <c r="M5" s="24" t="n">
        <v>45790</v>
      </c>
      <c r="N5" s="25" t="n">
        <f aca="false">INT((M5-D5)/365.25)</f>
        <v>21</v>
      </c>
      <c r="O5" s="12" t="s">
        <v>22</v>
      </c>
    </row>
    <row r="6" customFormat="false" ht="15" hidden="false" customHeight="false" outlineLevel="0" collapsed="false">
      <c r="A6" s="51" t="n">
        <v>2</v>
      </c>
      <c r="B6" s="10" t="n">
        <v>868936</v>
      </c>
      <c r="C6" s="11" t="s">
        <v>1080</v>
      </c>
      <c r="D6" s="12" t="n">
        <v>38659</v>
      </c>
      <c r="E6" s="11"/>
      <c r="F6" s="11"/>
      <c r="G6" s="11" t="s">
        <v>1081</v>
      </c>
      <c r="H6" s="11" t="s">
        <v>1082</v>
      </c>
      <c r="I6" s="11" t="n">
        <v>924501</v>
      </c>
      <c r="J6" s="11" t="n">
        <v>309</v>
      </c>
      <c r="K6" s="11" t="s">
        <v>30</v>
      </c>
      <c r="L6" s="11" t="s">
        <v>296</v>
      </c>
      <c r="M6" s="24" t="n">
        <v>45790</v>
      </c>
      <c r="N6" s="25" t="n">
        <f aca="false">INT((M6-D6)/365.25)</f>
        <v>19</v>
      </c>
      <c r="O6" s="12" t="s">
        <v>22</v>
      </c>
    </row>
    <row r="7" customFormat="false" ht="15" hidden="false" customHeight="false" outlineLevel="0" collapsed="false">
      <c r="A7" s="51" t="n">
        <v>3</v>
      </c>
      <c r="B7" s="10" t="n">
        <v>858411</v>
      </c>
      <c r="C7" s="11" t="s">
        <v>1083</v>
      </c>
      <c r="D7" s="12" t="n">
        <v>29101</v>
      </c>
      <c r="E7" s="11"/>
      <c r="F7" s="11"/>
      <c r="G7" s="11" t="s">
        <v>1084</v>
      </c>
      <c r="H7" s="11" t="s">
        <v>1085</v>
      </c>
      <c r="I7" s="11" t="n">
        <v>6366137</v>
      </c>
      <c r="J7" s="11" t="n">
        <v>3315</v>
      </c>
      <c r="K7" s="11" t="s">
        <v>30</v>
      </c>
      <c r="L7" s="11" t="s">
        <v>296</v>
      </c>
      <c r="M7" s="24" t="n">
        <v>45790</v>
      </c>
      <c r="N7" s="25" t="n">
        <f aca="false">INT((M7-D7)/365.25)</f>
        <v>45</v>
      </c>
      <c r="O7" s="12" t="s">
        <v>22</v>
      </c>
    </row>
    <row r="8" customFormat="false" ht="15" hidden="false" customHeight="false" outlineLevel="0" collapsed="false">
      <c r="A8" s="51" t="n">
        <v>4</v>
      </c>
      <c r="B8" s="10" t="n">
        <v>858448</v>
      </c>
      <c r="C8" s="11" t="s">
        <v>1086</v>
      </c>
      <c r="D8" s="12" t="n">
        <v>28418</v>
      </c>
      <c r="E8" s="11"/>
      <c r="F8" s="11"/>
      <c r="G8" s="11" t="s">
        <v>1087</v>
      </c>
      <c r="H8" s="11" t="n">
        <v>95002309650</v>
      </c>
      <c r="I8" s="11" t="n">
        <v>71721</v>
      </c>
      <c r="J8" s="11" t="n">
        <v>39</v>
      </c>
      <c r="K8" s="11" t="s">
        <v>30</v>
      </c>
      <c r="L8" s="11" t="s">
        <v>296</v>
      </c>
      <c r="M8" s="24" t="n">
        <v>45790</v>
      </c>
      <c r="N8" s="25" t="n">
        <f aca="false">INT((M8-D8)/365.25)</f>
        <v>47</v>
      </c>
      <c r="O8" s="12" t="s">
        <v>22</v>
      </c>
    </row>
    <row r="9" customFormat="false" ht="15" hidden="false" customHeight="false" outlineLevel="0" collapsed="false">
      <c r="A9" s="51" t="n">
        <v>5</v>
      </c>
      <c r="B9" s="10" t="n">
        <v>858465</v>
      </c>
      <c r="C9" s="11" t="s">
        <v>1088</v>
      </c>
      <c r="D9" s="12" t="n">
        <v>34272</v>
      </c>
      <c r="E9" s="11"/>
      <c r="F9" s="11"/>
      <c r="G9" s="11" t="s">
        <v>1089</v>
      </c>
      <c r="H9" s="11" t="s">
        <v>1090</v>
      </c>
      <c r="I9" s="11" t="n">
        <v>9048515</v>
      </c>
      <c r="J9" s="11" t="n">
        <v>30</v>
      </c>
      <c r="K9" s="11" t="s">
        <v>30</v>
      </c>
      <c r="L9" s="11" t="s">
        <v>296</v>
      </c>
      <c r="M9" s="24" t="n">
        <v>45790</v>
      </c>
      <c r="N9" s="25" t="n">
        <f aca="false">INT((M9-D9)/365.25)</f>
        <v>31</v>
      </c>
      <c r="O9" s="12" t="s">
        <v>22</v>
      </c>
    </row>
    <row r="10" customFormat="false" ht="15" hidden="false" customHeight="false" outlineLevel="0" collapsed="false">
      <c r="A10" s="51" t="n">
        <v>6</v>
      </c>
      <c r="B10" s="10" t="n">
        <v>868938</v>
      </c>
      <c r="C10" s="11" t="s">
        <v>1091</v>
      </c>
      <c r="D10" s="12" t="n">
        <v>34535</v>
      </c>
      <c r="E10" s="11"/>
      <c r="F10" s="11"/>
      <c r="G10" s="11" t="s">
        <v>1092</v>
      </c>
      <c r="H10" s="11" t="s">
        <v>1093</v>
      </c>
      <c r="I10" s="11" t="n">
        <v>6132689</v>
      </c>
      <c r="J10" s="11" t="n">
        <v>8345</v>
      </c>
      <c r="K10" s="11" t="s">
        <v>30</v>
      </c>
      <c r="L10" s="11" t="s">
        <v>296</v>
      </c>
      <c r="M10" s="24" t="n">
        <v>45790</v>
      </c>
      <c r="N10" s="25" t="n">
        <f aca="false">INT((M10-D10)/365.25)</f>
        <v>30</v>
      </c>
      <c r="O10" s="12" t="s">
        <v>22</v>
      </c>
    </row>
    <row r="11" customFormat="false" ht="15" hidden="false" customHeight="false" outlineLevel="0" collapsed="false">
      <c r="A11" s="51" t="n">
        <v>8</v>
      </c>
      <c r="B11" s="10" t="n">
        <v>868925</v>
      </c>
      <c r="C11" s="11" t="s">
        <v>1094</v>
      </c>
      <c r="D11" s="12" t="n">
        <v>33852</v>
      </c>
      <c r="E11" s="11"/>
      <c r="F11" s="11"/>
      <c r="G11" s="11" t="s">
        <v>1095</v>
      </c>
      <c r="H11" s="11" t="s">
        <v>1096</v>
      </c>
      <c r="I11" s="11" t="n">
        <v>199850</v>
      </c>
      <c r="J11" s="11" t="n">
        <v>50</v>
      </c>
      <c r="K11" s="11" t="s">
        <v>30</v>
      </c>
      <c r="L11" s="11" t="s">
        <v>296</v>
      </c>
      <c r="M11" s="24" t="n">
        <v>45790</v>
      </c>
      <c r="N11" s="25" t="n">
        <f aca="false">INT((M11-D11)/365.25)</f>
        <v>32</v>
      </c>
      <c r="O11" s="12" t="s">
        <v>22</v>
      </c>
    </row>
    <row r="12" customFormat="false" ht="15" hidden="false" customHeight="false" outlineLevel="0" collapsed="false">
      <c r="A12" s="51" t="n">
        <v>9</v>
      </c>
      <c r="B12" s="10" t="n">
        <v>866843</v>
      </c>
      <c r="C12" s="11" t="s">
        <v>1097</v>
      </c>
      <c r="D12" s="12" t="n">
        <v>39017</v>
      </c>
      <c r="E12" s="11"/>
      <c r="F12" s="11"/>
      <c r="G12" s="11" t="s">
        <v>1098</v>
      </c>
      <c r="H12" s="11" t="s">
        <v>1099</v>
      </c>
      <c r="I12" s="11" t="n">
        <v>953714</v>
      </c>
      <c r="J12" s="11" t="n">
        <v>393</v>
      </c>
      <c r="K12" s="11" t="s">
        <v>30</v>
      </c>
      <c r="L12" s="11" t="s">
        <v>296</v>
      </c>
      <c r="M12" s="24" t="n">
        <v>45790</v>
      </c>
      <c r="N12" s="25" t="n">
        <f aca="false">INT((M12-D12)/365.25)</f>
        <v>18</v>
      </c>
      <c r="O12" s="12" t="s">
        <v>22</v>
      </c>
    </row>
  </sheetData>
  <mergeCells count="1">
    <mergeCell ref="A1:O2"/>
  </mergeCells>
  <conditionalFormatting sqref="N5:N12">
    <cfRule type="colorScale" priority="2">
      <colorScale>
        <cfvo type="num" val="17"/>
        <cfvo type="num" val="18"/>
        <color rgb="FFFF0000"/>
        <color rgb="FF92D050"/>
      </colorScale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27" activeCellId="0" sqref="B27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8.14"/>
    <col collapsed="false" customWidth="true" hidden="false" outlineLevel="0" max="3" min="3" style="0" width="35.86"/>
    <col collapsed="false" customWidth="true" hidden="false" outlineLevel="0" max="4" min="4" style="0" width="9"/>
    <col collapsed="false" customWidth="true" hidden="false" outlineLevel="0" max="5" min="5" style="0" width="15.15"/>
    <col collapsed="false" customWidth="true" hidden="false" outlineLevel="0" max="6" min="6" style="0" width="6.43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8.14"/>
    <col collapsed="false" customWidth="true" hidden="false" outlineLevel="0" max="10" min="10" style="0" width="5"/>
    <col collapsed="false" customWidth="true" hidden="true" outlineLevel="0" max="11" min="11" style="0" width="6.14"/>
    <col collapsed="false" customWidth="true" hidden="true" outlineLevel="0" max="12" min="12" style="0" width="11.57"/>
    <col collapsed="false" customWidth="true" hidden="false" outlineLevel="0" max="13" min="13" style="0" width="17.29"/>
    <col collapsed="false" customWidth="true" hidden="false" outlineLevel="0" max="14" min="14" style="0" width="9.29"/>
    <col collapsed="false" customWidth="true" hidden="false" outlineLevel="0" max="15" min="15" style="0" width="5.71"/>
    <col collapsed="false" customWidth="true" hidden="false" outlineLevel="0" max="16" min="16" style="0" width="6.14"/>
    <col collapsed="false" customWidth="true" hidden="false" outlineLevel="0" max="17" min="17" style="0" width="17.71"/>
  </cols>
  <sheetData>
    <row r="1" customFormat="false" ht="15" hidden="false" customHeight="false" outlineLevel="0" collapsed="false">
      <c r="A1" s="54" t="s">
        <v>1100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</row>
    <row r="2" customFormat="false" ht="15" hidden="false" customHeight="false" outlineLevel="0" collapsed="false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</row>
    <row r="3" customFormat="false" ht="15" hidden="false" customHeight="false" outlineLevel="0" collapsed="false">
      <c r="A3" s="43"/>
      <c r="B3" s="44" t="s">
        <v>1</v>
      </c>
      <c r="C3" s="44" t="s">
        <v>2</v>
      </c>
      <c r="D3" s="44" t="s">
        <v>3</v>
      </c>
      <c r="E3" s="44" t="s">
        <v>4</v>
      </c>
      <c r="F3" s="44" t="s">
        <v>5</v>
      </c>
      <c r="G3" s="45" t="s">
        <v>6</v>
      </c>
      <c r="H3" s="44" t="s">
        <v>7</v>
      </c>
      <c r="I3" s="44" t="s">
        <v>8</v>
      </c>
      <c r="J3" s="44" t="s">
        <v>9</v>
      </c>
      <c r="K3" s="44" t="s">
        <v>10</v>
      </c>
      <c r="L3" s="44" t="s">
        <v>1101</v>
      </c>
      <c r="M3" s="44" t="s">
        <v>11</v>
      </c>
      <c r="N3" s="44" t="s">
        <v>12</v>
      </c>
      <c r="O3" s="44" t="s">
        <v>13</v>
      </c>
      <c r="P3" s="44" t="s">
        <v>16</v>
      </c>
    </row>
    <row r="4" customFormat="false" ht="15" hidden="false" customHeight="false" outlineLevel="0" collapsed="false">
      <c r="A4" s="46"/>
      <c r="B4" s="47"/>
      <c r="C4" s="44" t="s">
        <v>1102</v>
      </c>
      <c r="D4" s="48"/>
      <c r="E4" s="47"/>
      <c r="F4" s="47"/>
      <c r="G4" s="47"/>
      <c r="H4" s="47"/>
      <c r="I4" s="47"/>
      <c r="J4" s="47"/>
      <c r="K4" s="47"/>
      <c r="L4" s="47"/>
      <c r="M4" s="49"/>
      <c r="N4" s="50"/>
      <c r="O4" s="44"/>
      <c r="P4" s="44"/>
    </row>
    <row r="5" customFormat="false" ht="15" hidden="false" customHeight="false" outlineLevel="0" collapsed="false">
      <c r="A5" s="51" t="n">
        <v>1</v>
      </c>
      <c r="B5" s="10" t="n">
        <v>829301</v>
      </c>
      <c r="C5" s="11" t="s">
        <v>1103</v>
      </c>
      <c r="D5" s="12" t="n">
        <v>34174</v>
      </c>
      <c r="E5" s="11" t="s">
        <v>1104</v>
      </c>
      <c r="F5" s="11" t="s">
        <v>160</v>
      </c>
      <c r="G5" s="11" t="s">
        <v>1105</v>
      </c>
      <c r="H5" s="11" t="s">
        <v>1106</v>
      </c>
      <c r="I5" s="11" t="n">
        <v>7132521</v>
      </c>
      <c r="J5" s="11" t="n">
        <v>471</v>
      </c>
      <c r="K5" s="11" t="s">
        <v>22</v>
      </c>
      <c r="L5" s="11" t="n">
        <v>82996812546</v>
      </c>
      <c r="M5" s="11" t="s">
        <v>1107</v>
      </c>
      <c r="N5" s="24" t="n">
        <v>45824</v>
      </c>
      <c r="O5" s="25" t="n">
        <f aca="false">INT((N5-D5)/365.25)</f>
        <v>31</v>
      </c>
      <c r="P5" s="12" t="s">
        <v>22</v>
      </c>
    </row>
    <row r="6" customFormat="false" ht="15" hidden="false" customHeight="false" outlineLevel="0" collapsed="false">
      <c r="A6" s="51" t="n">
        <v>2</v>
      </c>
      <c r="B6" s="10" t="n">
        <v>869327</v>
      </c>
      <c r="C6" s="11" t="s">
        <v>1108</v>
      </c>
      <c r="D6" s="12" t="n">
        <v>38052</v>
      </c>
      <c r="E6" s="11" t="s">
        <v>1104</v>
      </c>
      <c r="F6" s="11" t="s">
        <v>160</v>
      </c>
      <c r="G6" s="11" t="s">
        <v>1109</v>
      </c>
      <c r="H6" s="11" t="s">
        <v>1110</v>
      </c>
      <c r="I6" s="11" t="n">
        <v>1291006</v>
      </c>
      <c r="J6" s="11" t="n">
        <v>446</v>
      </c>
      <c r="K6" s="11" t="s">
        <v>22</v>
      </c>
      <c r="L6" s="11"/>
      <c r="M6" s="11" t="s">
        <v>1107</v>
      </c>
      <c r="N6" s="24" t="n">
        <v>45824</v>
      </c>
      <c r="O6" s="25" t="n">
        <f aca="false">INT((N6-D6)/365.25)</f>
        <v>21</v>
      </c>
      <c r="P6" s="12" t="s">
        <v>22</v>
      </c>
    </row>
    <row r="7" customFormat="false" ht="15" hidden="false" customHeight="false" outlineLevel="0" collapsed="false">
      <c r="A7" s="51" t="n">
        <v>3</v>
      </c>
      <c r="B7" s="10" t="n">
        <v>847631</v>
      </c>
      <c r="C7" s="11" t="s">
        <v>1111</v>
      </c>
      <c r="D7" s="12" t="n">
        <v>38061</v>
      </c>
      <c r="E7" s="11" t="s">
        <v>1104</v>
      </c>
      <c r="F7" s="11" t="s">
        <v>160</v>
      </c>
      <c r="G7" s="11" t="s">
        <v>1112</v>
      </c>
      <c r="H7" s="11" t="n">
        <v>45246927</v>
      </c>
      <c r="I7" s="11" t="n">
        <v>1407915</v>
      </c>
      <c r="J7" s="11" t="n">
        <v>458</v>
      </c>
      <c r="K7" s="11" t="s">
        <v>22</v>
      </c>
      <c r="L7" s="11" t="n">
        <v>82981277066</v>
      </c>
      <c r="M7" s="11" t="s">
        <v>1107</v>
      </c>
      <c r="N7" s="24" t="n">
        <v>45824</v>
      </c>
      <c r="O7" s="25" t="n">
        <f aca="false">INT((N7-D7)/365.25)</f>
        <v>21</v>
      </c>
      <c r="P7" s="12" t="s">
        <v>22</v>
      </c>
    </row>
    <row r="8" customFormat="false" ht="15" hidden="false" customHeight="false" outlineLevel="0" collapsed="false">
      <c r="A8" s="51" t="n">
        <v>4</v>
      </c>
      <c r="B8" s="10" t="n">
        <v>870482</v>
      </c>
      <c r="C8" s="11" t="s">
        <v>1113</v>
      </c>
      <c r="D8" s="12" t="n">
        <v>37999</v>
      </c>
      <c r="E8" s="11" t="s">
        <v>1114</v>
      </c>
      <c r="F8" s="11" t="s">
        <v>160</v>
      </c>
      <c r="G8" s="11" t="s">
        <v>1115</v>
      </c>
      <c r="H8" s="11" t="s">
        <v>1116</v>
      </c>
      <c r="I8" s="11" t="n">
        <v>1044131</v>
      </c>
      <c r="J8" s="11" t="n">
        <v>9424</v>
      </c>
      <c r="K8" s="11" t="s">
        <v>22</v>
      </c>
      <c r="L8" s="11" t="n">
        <v>82999702721</v>
      </c>
      <c r="M8" s="11" t="s">
        <v>1107</v>
      </c>
      <c r="N8" s="24" t="n">
        <v>45824</v>
      </c>
      <c r="O8" s="25" t="n">
        <f aca="false">INT((N8-D8)/365.25)</f>
        <v>21</v>
      </c>
      <c r="P8" s="12" t="s">
        <v>22</v>
      </c>
    </row>
    <row r="9" customFormat="false" ht="15" hidden="false" customHeight="false" outlineLevel="0" collapsed="false">
      <c r="A9" s="51" t="n">
        <v>5</v>
      </c>
      <c r="B9" s="10" t="n">
        <v>819476</v>
      </c>
      <c r="C9" s="11" t="s">
        <v>1117</v>
      </c>
      <c r="D9" s="12" t="n">
        <v>31734</v>
      </c>
      <c r="E9" s="11" t="s">
        <v>1104</v>
      </c>
      <c r="F9" s="11" t="s">
        <v>160</v>
      </c>
      <c r="G9" s="11" t="s">
        <v>1118</v>
      </c>
      <c r="H9" s="11" t="s">
        <v>1119</v>
      </c>
      <c r="I9" s="11" t="n">
        <v>5086</v>
      </c>
      <c r="J9" s="11" t="n">
        <v>24</v>
      </c>
      <c r="K9" s="11" t="s">
        <v>22</v>
      </c>
      <c r="L9" s="11" t="n">
        <v>82999534473</v>
      </c>
      <c r="M9" s="11" t="s">
        <v>1107</v>
      </c>
      <c r="N9" s="24" t="n">
        <v>45824</v>
      </c>
      <c r="O9" s="25" t="n">
        <f aca="false">INT((N9-D9)/365.25)</f>
        <v>38</v>
      </c>
      <c r="P9" s="12" t="s">
        <v>22</v>
      </c>
    </row>
    <row r="10" customFormat="false" ht="15" hidden="false" customHeight="false" outlineLevel="0" collapsed="false">
      <c r="A10" s="51" t="n">
        <v>6</v>
      </c>
      <c r="B10" s="10" t="n">
        <v>857669</v>
      </c>
      <c r="C10" s="11" t="s">
        <v>1120</v>
      </c>
      <c r="D10" s="12" t="n">
        <v>36499</v>
      </c>
      <c r="E10" s="11" t="s">
        <v>1104</v>
      </c>
      <c r="F10" s="11" t="s">
        <v>160</v>
      </c>
      <c r="G10" s="11" t="s">
        <v>1121</v>
      </c>
      <c r="H10" s="11" t="s">
        <v>1122</v>
      </c>
      <c r="I10" s="11" t="n">
        <v>6878924</v>
      </c>
      <c r="J10" s="11" t="n">
        <v>50</v>
      </c>
      <c r="K10" s="11" t="s">
        <v>22</v>
      </c>
      <c r="L10" s="11" t="n">
        <v>82988401580</v>
      </c>
      <c r="M10" s="11" t="s">
        <v>1107</v>
      </c>
      <c r="N10" s="24" t="n">
        <v>45824</v>
      </c>
      <c r="O10" s="25" t="n">
        <f aca="false">INT((N10-D10)/365.25)</f>
        <v>25</v>
      </c>
      <c r="P10" s="12" t="s">
        <v>22</v>
      </c>
    </row>
    <row r="11" customFormat="false" ht="15" hidden="false" customHeight="false" outlineLevel="0" collapsed="false">
      <c r="A11" s="51" t="n">
        <v>7</v>
      </c>
      <c r="B11" s="10" t="n">
        <v>759465</v>
      </c>
      <c r="C11" s="11" t="s">
        <v>1123</v>
      </c>
      <c r="D11" s="12" t="n">
        <v>33238</v>
      </c>
      <c r="E11" s="11" t="s">
        <v>1104</v>
      </c>
      <c r="F11" s="11" t="s">
        <v>160</v>
      </c>
      <c r="G11" s="11" t="s">
        <v>1124</v>
      </c>
      <c r="H11" s="11" t="s">
        <v>1125</v>
      </c>
      <c r="I11" s="11" t="n">
        <v>1094247</v>
      </c>
      <c r="J11" s="11" t="n">
        <v>494</v>
      </c>
      <c r="K11" s="11" t="s">
        <v>22</v>
      </c>
      <c r="L11" s="11" t="n">
        <v>82998248947</v>
      </c>
      <c r="M11" s="11" t="s">
        <v>1107</v>
      </c>
      <c r="N11" s="24" t="n">
        <v>45824</v>
      </c>
      <c r="O11" s="25" t="n">
        <f aca="false">INT((N11-D11)/365.25)</f>
        <v>34</v>
      </c>
      <c r="P11" s="12" t="s">
        <v>22</v>
      </c>
    </row>
    <row r="12" customFormat="false" ht="15" hidden="false" customHeight="false" outlineLevel="0" collapsed="false">
      <c r="A12" s="51" t="n">
        <v>8</v>
      </c>
      <c r="B12" s="10" t="n">
        <v>802727</v>
      </c>
      <c r="C12" s="11" t="s">
        <v>1126</v>
      </c>
      <c r="D12" s="12" t="n">
        <v>31884</v>
      </c>
      <c r="E12" s="11" t="s">
        <v>1104</v>
      </c>
      <c r="F12" s="11" t="s">
        <v>160</v>
      </c>
      <c r="G12" s="11" t="s">
        <v>1127</v>
      </c>
      <c r="H12" s="11" t="s">
        <v>1128</v>
      </c>
      <c r="I12" s="11" t="n">
        <v>780010</v>
      </c>
      <c r="J12" s="11" t="n">
        <v>3455</v>
      </c>
      <c r="K12" s="11" t="s">
        <v>22</v>
      </c>
      <c r="L12" s="11" t="n">
        <v>82996328773</v>
      </c>
      <c r="M12" s="11" t="s">
        <v>1107</v>
      </c>
      <c r="N12" s="24" t="n">
        <v>45824</v>
      </c>
      <c r="O12" s="25" t="n">
        <f aca="false">INT((N12-D12)/365.25)</f>
        <v>38</v>
      </c>
      <c r="P12" s="12" t="s">
        <v>22</v>
      </c>
    </row>
    <row r="13" customFormat="false" ht="15" hidden="false" customHeight="false" outlineLevel="0" collapsed="false">
      <c r="A13" s="51" t="n">
        <v>9</v>
      </c>
      <c r="B13" s="10" t="n">
        <v>859215</v>
      </c>
      <c r="C13" s="11" t="s">
        <v>1129</v>
      </c>
      <c r="D13" s="12" t="n">
        <v>36069</v>
      </c>
      <c r="E13" s="11" t="s">
        <v>1114</v>
      </c>
      <c r="F13" s="11" t="s">
        <v>160</v>
      </c>
      <c r="G13" s="11" t="s">
        <v>1130</v>
      </c>
      <c r="H13" s="11" t="s">
        <v>1131</v>
      </c>
      <c r="I13" s="11" t="n">
        <v>2312469</v>
      </c>
      <c r="J13" s="11" t="n">
        <v>50</v>
      </c>
      <c r="K13" s="11" t="s">
        <v>22</v>
      </c>
      <c r="L13" s="11" t="n">
        <v>82996678985</v>
      </c>
      <c r="M13" s="11" t="s">
        <v>1107</v>
      </c>
      <c r="N13" s="24" t="n">
        <v>45824</v>
      </c>
      <c r="O13" s="25" t="n">
        <f aca="false">INT((N13-D13)/365.25)</f>
        <v>26</v>
      </c>
      <c r="P13" s="12" t="s">
        <v>22</v>
      </c>
    </row>
    <row r="14" customFormat="false" ht="15" hidden="false" customHeight="false" outlineLevel="0" collapsed="false">
      <c r="A14" s="51" t="n">
        <v>10</v>
      </c>
      <c r="B14" s="10" t="n">
        <v>832791</v>
      </c>
      <c r="C14" s="11" t="s">
        <v>1132</v>
      </c>
      <c r="D14" s="12" t="n">
        <v>37012</v>
      </c>
      <c r="E14" s="11" t="s">
        <v>1104</v>
      </c>
      <c r="F14" s="11" t="s">
        <v>160</v>
      </c>
      <c r="G14" s="11" t="s">
        <v>1133</v>
      </c>
      <c r="H14" s="11" t="s">
        <v>1134</v>
      </c>
      <c r="I14" s="11" t="n">
        <v>1368924</v>
      </c>
      <c r="J14" s="11" t="n">
        <v>6466</v>
      </c>
      <c r="K14" s="11" t="s">
        <v>22</v>
      </c>
      <c r="L14" s="11" t="n">
        <v>82999674633</v>
      </c>
      <c r="M14" s="11" t="s">
        <v>1107</v>
      </c>
      <c r="N14" s="24" t="n">
        <v>45824</v>
      </c>
      <c r="O14" s="25" t="n">
        <f aca="false">INT((N14-D14)/365.25)</f>
        <v>24</v>
      </c>
      <c r="P14" s="12" t="s">
        <v>22</v>
      </c>
    </row>
    <row r="15" customFormat="false" ht="15" hidden="false" customHeight="false" outlineLevel="0" collapsed="false">
      <c r="A15" s="51" t="n">
        <v>11</v>
      </c>
      <c r="B15" s="10" t="n">
        <v>759510</v>
      </c>
      <c r="C15" s="11" t="s">
        <v>1135</v>
      </c>
      <c r="D15" s="12" t="n">
        <v>27359</v>
      </c>
      <c r="E15" s="11" t="s">
        <v>1104</v>
      </c>
      <c r="F15" s="11" t="s">
        <v>160</v>
      </c>
      <c r="G15" s="11" t="s">
        <v>1136</v>
      </c>
      <c r="H15" s="11" t="s">
        <v>1137</v>
      </c>
      <c r="I15" s="11" t="n">
        <v>9857374</v>
      </c>
      <c r="J15" s="11" t="n">
        <v>8400</v>
      </c>
      <c r="K15" s="11" t="s">
        <v>22</v>
      </c>
      <c r="L15" s="11" t="n">
        <v>82999504497</v>
      </c>
      <c r="M15" s="11" t="s">
        <v>1107</v>
      </c>
      <c r="N15" s="24" t="n">
        <v>45824</v>
      </c>
      <c r="O15" s="25" t="n">
        <f aca="false">INT((N15-D15)/365.25)</f>
        <v>50</v>
      </c>
      <c r="P15" s="12" t="s">
        <v>22</v>
      </c>
    </row>
    <row r="16" customFormat="false" ht="15" hidden="false" customHeight="false" outlineLevel="0" collapsed="false">
      <c r="A16" s="51" t="n">
        <v>12</v>
      </c>
      <c r="B16" s="10" t="n">
        <v>869331</v>
      </c>
      <c r="C16" s="10" t="s">
        <v>1138</v>
      </c>
      <c r="D16" s="12" t="n">
        <v>37089</v>
      </c>
      <c r="E16" s="11" t="s">
        <v>1114</v>
      </c>
      <c r="F16" s="11" t="s">
        <v>160</v>
      </c>
      <c r="G16" s="11" t="s">
        <v>1139</v>
      </c>
      <c r="H16" s="11" t="n">
        <v>45017116</v>
      </c>
      <c r="I16" s="11" t="n">
        <v>1239728</v>
      </c>
      <c r="J16" s="11" t="n">
        <v>6467</v>
      </c>
      <c r="K16" s="11" t="s">
        <v>22</v>
      </c>
      <c r="L16" s="11" t="n">
        <v>82998275145</v>
      </c>
      <c r="M16" s="11" t="s">
        <v>1107</v>
      </c>
      <c r="N16" s="24" t="n">
        <v>45824</v>
      </c>
      <c r="O16" s="25" t="n">
        <f aca="false">INT((N16-D16)/365.25)</f>
        <v>23</v>
      </c>
      <c r="P16" s="12" t="s">
        <v>22</v>
      </c>
    </row>
    <row r="17" customFormat="false" ht="15" hidden="false" customHeight="false" outlineLevel="0" collapsed="false">
      <c r="A17" s="51" t="n">
        <v>13</v>
      </c>
      <c r="B17" s="10" t="n">
        <v>834624</v>
      </c>
      <c r="C17" s="11" t="s">
        <v>1140</v>
      </c>
      <c r="D17" s="12" t="n">
        <v>37949</v>
      </c>
      <c r="E17" s="11" t="s">
        <v>1104</v>
      </c>
      <c r="F17" s="11" t="s">
        <v>160</v>
      </c>
      <c r="G17" s="11" t="s">
        <v>1141</v>
      </c>
      <c r="H17" s="11" t="s">
        <v>1142</v>
      </c>
      <c r="I17" s="11" t="n">
        <v>1368922</v>
      </c>
      <c r="J17" s="11" t="n">
        <v>5469</v>
      </c>
      <c r="K17" s="11" t="s">
        <v>22</v>
      </c>
      <c r="L17" s="11" t="n">
        <v>82999729936</v>
      </c>
      <c r="M17" s="11" t="s">
        <v>1107</v>
      </c>
      <c r="N17" s="24" t="n">
        <v>45824</v>
      </c>
      <c r="O17" s="25" t="n">
        <f aca="false">INT((N17-D17)/365.25)</f>
        <v>21</v>
      </c>
      <c r="P17" s="12" t="s">
        <v>22</v>
      </c>
    </row>
    <row r="18" customFormat="false" ht="15" hidden="false" customHeight="false" outlineLevel="0" collapsed="false">
      <c r="A18" s="51" t="n">
        <v>14</v>
      </c>
      <c r="B18" s="10" t="n">
        <v>826538</v>
      </c>
      <c r="C18" s="11" t="s">
        <v>1143</v>
      </c>
      <c r="D18" s="12" t="n">
        <v>33228</v>
      </c>
      <c r="E18" s="11" t="s">
        <v>1104</v>
      </c>
      <c r="F18" s="11" t="s">
        <v>160</v>
      </c>
      <c r="G18" s="11" t="s">
        <v>1144</v>
      </c>
      <c r="H18" s="11" t="n">
        <v>349660787</v>
      </c>
      <c r="I18" s="11" t="n">
        <v>1051063</v>
      </c>
      <c r="J18" s="11" t="n">
        <v>3455</v>
      </c>
      <c r="K18" s="11" t="s">
        <v>22</v>
      </c>
      <c r="L18" s="11" t="n">
        <v>82999679269</v>
      </c>
      <c r="M18" s="11" t="s">
        <v>1107</v>
      </c>
      <c r="N18" s="24" t="n">
        <v>45824</v>
      </c>
      <c r="O18" s="25" t="n">
        <f aca="false">INT((N18-D18)/365.25)</f>
        <v>34</v>
      </c>
      <c r="P18" s="12" t="s">
        <v>22</v>
      </c>
    </row>
    <row r="19" customFormat="false" ht="15" hidden="false" customHeight="false" outlineLevel="0" collapsed="false">
      <c r="A19" s="51" t="n">
        <v>15</v>
      </c>
      <c r="B19" s="10" t="n">
        <v>869333</v>
      </c>
      <c r="C19" s="11" t="s">
        <v>1145</v>
      </c>
      <c r="D19" s="12" t="n">
        <v>36902</v>
      </c>
      <c r="E19" s="11" t="s">
        <v>1104</v>
      </c>
      <c r="F19" s="11" t="s">
        <v>160</v>
      </c>
      <c r="G19" s="11" t="s">
        <v>1146</v>
      </c>
      <c r="H19" s="11" t="n">
        <v>10863024</v>
      </c>
      <c r="I19" s="11" t="n">
        <v>1814941</v>
      </c>
      <c r="J19" s="11" t="n">
        <v>7460</v>
      </c>
      <c r="K19" s="11" t="s">
        <v>22</v>
      </c>
      <c r="L19" s="11"/>
      <c r="M19" s="11" t="s">
        <v>1107</v>
      </c>
      <c r="N19" s="24" t="n">
        <v>45824</v>
      </c>
      <c r="O19" s="25" t="n">
        <f aca="false">INT((N19-D19)/365.25)</f>
        <v>24</v>
      </c>
      <c r="P19" s="12" t="s">
        <v>22</v>
      </c>
    </row>
    <row r="20" customFormat="false" ht="15" hidden="false" customHeight="false" outlineLevel="0" collapsed="false">
      <c r="A20" s="51" t="n">
        <v>16</v>
      </c>
      <c r="B20" s="10" t="n">
        <v>802761</v>
      </c>
      <c r="C20" s="11" t="s">
        <v>1147</v>
      </c>
      <c r="D20" s="12" t="n">
        <v>31486</v>
      </c>
      <c r="E20" s="11" t="s">
        <v>1104</v>
      </c>
      <c r="F20" s="11" t="s">
        <v>160</v>
      </c>
      <c r="G20" s="11" t="s">
        <v>1148</v>
      </c>
      <c r="H20" s="11" t="s">
        <v>1149</v>
      </c>
      <c r="I20" s="11" t="n">
        <v>59788</v>
      </c>
      <c r="J20" s="11" t="n">
        <v>22</v>
      </c>
      <c r="K20" s="11" t="s">
        <v>22</v>
      </c>
      <c r="L20" s="11" t="n">
        <v>34991925627</v>
      </c>
      <c r="M20" s="11" t="s">
        <v>1107</v>
      </c>
      <c r="N20" s="24" t="n">
        <v>45824</v>
      </c>
      <c r="O20" s="25" t="n">
        <f aca="false">INT((N20-D20)/365.25)</f>
        <v>39</v>
      </c>
      <c r="P20" s="12" t="s">
        <v>22</v>
      </c>
    </row>
    <row r="21" customFormat="false" ht="15" hidden="false" customHeight="false" outlineLevel="0" collapsed="false">
      <c r="A21" s="51" t="n">
        <v>17</v>
      </c>
      <c r="B21" s="10" t="n">
        <v>822524</v>
      </c>
      <c r="C21" s="11" t="s">
        <v>1150</v>
      </c>
      <c r="D21" s="12" t="n">
        <v>36962</v>
      </c>
      <c r="E21" s="11" t="s">
        <v>1104</v>
      </c>
      <c r="F21" s="11" t="s">
        <v>160</v>
      </c>
      <c r="G21" s="11" t="s">
        <v>1151</v>
      </c>
      <c r="H21" s="11" t="n">
        <v>45070539</v>
      </c>
      <c r="I21" s="11" t="n">
        <v>1095431</v>
      </c>
      <c r="J21" s="11" t="n">
        <v>489</v>
      </c>
      <c r="K21" s="11" t="s">
        <v>22</v>
      </c>
      <c r="L21" s="11" t="n">
        <v>34991028205</v>
      </c>
      <c r="M21" s="11" t="s">
        <v>1107</v>
      </c>
      <c r="N21" s="24" t="n">
        <v>45824</v>
      </c>
      <c r="O21" s="25" t="n">
        <f aca="false">INT((N21-D21)/365.25)</f>
        <v>24</v>
      </c>
      <c r="P21" s="12" t="s">
        <v>22</v>
      </c>
    </row>
    <row r="22" customFormat="false" ht="15" hidden="false" customHeight="false" outlineLevel="0" collapsed="false">
      <c r="A22" s="51" t="n">
        <v>18</v>
      </c>
      <c r="B22" s="10" t="n">
        <v>759570</v>
      </c>
      <c r="C22" s="11" t="s">
        <v>1152</v>
      </c>
      <c r="D22" s="12" t="n">
        <v>31442</v>
      </c>
      <c r="E22" s="11" t="s">
        <v>1104</v>
      </c>
      <c r="F22" s="11" t="s">
        <v>160</v>
      </c>
      <c r="G22" s="11" t="s">
        <v>1153</v>
      </c>
      <c r="H22" s="11" t="s">
        <v>1154</v>
      </c>
      <c r="I22" s="11" t="n">
        <v>29491</v>
      </c>
      <c r="J22" s="11" t="n">
        <v>24</v>
      </c>
      <c r="K22" s="11" t="s">
        <v>22</v>
      </c>
      <c r="L22" s="11" t="n">
        <v>82988699643</v>
      </c>
      <c r="M22" s="11" t="s">
        <v>1107</v>
      </c>
      <c r="N22" s="24" t="n">
        <v>45824</v>
      </c>
      <c r="O22" s="25" t="n">
        <f aca="false">INT((N22-D22)/365.25)</f>
        <v>39</v>
      </c>
      <c r="P22" s="12" t="s">
        <v>22</v>
      </c>
    </row>
    <row r="23" customFormat="false" ht="15" hidden="false" customHeight="false" outlineLevel="0" collapsed="false">
      <c r="A23" s="51" t="n">
        <v>19</v>
      </c>
      <c r="B23" s="10" t="n">
        <v>822527</v>
      </c>
      <c r="C23" s="11" t="s">
        <v>1155</v>
      </c>
      <c r="D23" s="12" t="n">
        <v>37707</v>
      </c>
      <c r="E23" s="11" t="s">
        <v>1104</v>
      </c>
      <c r="F23" s="11" t="s">
        <v>160</v>
      </c>
      <c r="G23" s="11" t="s">
        <v>1156</v>
      </c>
      <c r="H23" s="11" t="s">
        <v>1157</v>
      </c>
      <c r="I23" s="11" t="n">
        <v>1299688</v>
      </c>
      <c r="J23" s="11" t="n">
        <v>7484</v>
      </c>
      <c r="K23" s="11" t="s">
        <v>22</v>
      </c>
      <c r="L23" s="11" t="n">
        <v>82996928808</v>
      </c>
      <c r="M23" s="11" t="s">
        <v>1107</v>
      </c>
      <c r="N23" s="24" t="n">
        <v>45824</v>
      </c>
      <c r="O23" s="25" t="n">
        <f aca="false">INT((N23-D23)/365.25)</f>
        <v>22</v>
      </c>
      <c r="P23" s="12" t="s">
        <v>22</v>
      </c>
    </row>
    <row r="24" customFormat="false" ht="15" hidden="false" customHeight="false" outlineLevel="0" collapsed="false">
      <c r="A24" s="51" t="n">
        <v>20</v>
      </c>
      <c r="B24" s="10" t="n">
        <v>759590</v>
      </c>
      <c r="C24" s="11" t="s">
        <v>1158</v>
      </c>
      <c r="D24" s="12" t="n">
        <v>30018</v>
      </c>
      <c r="E24" s="11" t="s">
        <v>1104</v>
      </c>
      <c r="F24" s="11" t="s">
        <v>160</v>
      </c>
      <c r="G24" s="11" t="s">
        <v>1159</v>
      </c>
      <c r="H24" s="11" t="n">
        <v>1955280</v>
      </c>
      <c r="I24" s="11" t="n">
        <v>506072</v>
      </c>
      <c r="J24" s="11" t="n">
        <v>7467</v>
      </c>
      <c r="K24" s="11" t="s">
        <v>22</v>
      </c>
      <c r="L24" s="11" t="n">
        <v>82996576096</v>
      </c>
      <c r="M24" s="11" t="s">
        <v>1107</v>
      </c>
      <c r="N24" s="24" t="n">
        <v>45824</v>
      </c>
      <c r="O24" s="25" t="n">
        <f aca="false">INT((N24-D24)/365.25)</f>
        <v>43</v>
      </c>
      <c r="P24" s="12" t="s">
        <v>22</v>
      </c>
    </row>
    <row r="25" customFormat="false" ht="15" hidden="false" customHeight="false" outlineLevel="0" collapsed="false">
      <c r="A25" s="51" t="n">
        <v>21</v>
      </c>
      <c r="B25" s="10" t="n">
        <v>847637</v>
      </c>
      <c r="C25" s="11" t="s">
        <v>1160</v>
      </c>
      <c r="D25" s="12" t="n">
        <v>34382</v>
      </c>
      <c r="E25" s="11" t="s">
        <v>1104</v>
      </c>
      <c r="F25" s="11" t="s">
        <v>160</v>
      </c>
      <c r="G25" s="11" t="s">
        <v>1161</v>
      </c>
      <c r="H25" s="11" t="s">
        <v>1162</v>
      </c>
      <c r="I25" s="11" t="n">
        <v>7153318</v>
      </c>
      <c r="J25" s="11" t="n">
        <v>8440</v>
      </c>
      <c r="K25" s="11" t="s">
        <v>22</v>
      </c>
      <c r="L25" s="11" t="n">
        <v>82996271359</v>
      </c>
      <c r="M25" s="11" t="s">
        <v>1107</v>
      </c>
      <c r="N25" s="24" t="n">
        <v>45824</v>
      </c>
      <c r="O25" s="25" t="n">
        <f aca="false">INT((N25-D25)/365.25)</f>
        <v>31</v>
      </c>
      <c r="P25" s="12" t="s">
        <v>22</v>
      </c>
    </row>
    <row r="26" customFormat="false" ht="15" hidden="false" customHeight="false" outlineLevel="0" collapsed="false">
      <c r="A26" s="51" t="n">
        <v>22</v>
      </c>
      <c r="B26" s="10" t="n">
        <v>822558</v>
      </c>
      <c r="C26" s="11" t="s">
        <v>1163</v>
      </c>
      <c r="D26" s="12" t="n">
        <v>35805</v>
      </c>
      <c r="E26" s="11" t="s">
        <v>1114</v>
      </c>
      <c r="F26" s="11" t="s">
        <v>160</v>
      </c>
      <c r="G26" s="11" t="s">
        <v>1164</v>
      </c>
      <c r="H26" s="11" t="s">
        <v>1165</v>
      </c>
      <c r="I26" s="11" t="n">
        <v>1203313</v>
      </c>
      <c r="J26" s="11" t="n">
        <v>4460</v>
      </c>
      <c r="K26" s="11" t="s">
        <v>22</v>
      </c>
      <c r="L26" s="11" t="n">
        <v>82996966843</v>
      </c>
      <c r="M26" s="11" t="s">
        <v>1107</v>
      </c>
      <c r="N26" s="24" t="n">
        <v>45824</v>
      </c>
      <c r="O26" s="25" t="n">
        <f aca="false">INT((N26-D26)/365.25)</f>
        <v>27</v>
      </c>
      <c r="P26" s="12" t="s">
        <v>22</v>
      </c>
    </row>
    <row r="27" customFormat="false" ht="15" hidden="false" customHeight="false" outlineLevel="0" collapsed="false">
      <c r="A27" s="51" t="n">
        <v>23</v>
      </c>
      <c r="B27" s="52" t="n">
        <v>630235</v>
      </c>
      <c r="C27" s="53" t="s">
        <v>1166</v>
      </c>
      <c r="D27" s="12" t="n">
        <v>34833</v>
      </c>
      <c r="E27" s="11" t="s">
        <v>1104</v>
      </c>
      <c r="F27" s="11" t="s">
        <v>160</v>
      </c>
      <c r="G27" s="11" t="s">
        <v>1167</v>
      </c>
      <c r="H27" s="11" t="s">
        <v>1168</v>
      </c>
      <c r="I27" s="11" t="n">
        <v>8169630</v>
      </c>
      <c r="J27" s="11" t="n">
        <v>30</v>
      </c>
      <c r="K27" s="11" t="s">
        <v>22</v>
      </c>
      <c r="L27" s="11" t="n">
        <v>82991518600</v>
      </c>
      <c r="M27" s="11" t="s">
        <v>1107</v>
      </c>
      <c r="N27" s="24" t="n">
        <v>45824</v>
      </c>
      <c r="O27" s="25" t="n">
        <f aca="false">INT((N27-D27)/365.25)</f>
        <v>30</v>
      </c>
      <c r="P27" s="12" t="s">
        <v>22</v>
      </c>
    </row>
    <row r="28" customFormat="false" ht="15.75" hidden="false" customHeight="true" outlineLevel="0" collapsed="false">
      <c r="A28" s="51" t="n">
        <v>24</v>
      </c>
      <c r="B28" s="10" t="n">
        <v>826529</v>
      </c>
      <c r="C28" s="11" t="s">
        <v>1169</v>
      </c>
      <c r="D28" s="12" t="n">
        <v>37252</v>
      </c>
      <c r="E28" s="11" t="s">
        <v>1104</v>
      </c>
      <c r="F28" s="11" t="s">
        <v>160</v>
      </c>
      <c r="G28" s="11" t="s">
        <v>1170</v>
      </c>
      <c r="H28" s="11" t="n">
        <v>45087997</v>
      </c>
      <c r="I28" s="11" t="n">
        <v>7200121</v>
      </c>
      <c r="J28" s="11" t="n">
        <v>5410</v>
      </c>
      <c r="K28" s="11" t="s">
        <v>22</v>
      </c>
      <c r="L28" s="11" t="n">
        <v>34991329129</v>
      </c>
      <c r="M28" s="11" t="s">
        <v>1107</v>
      </c>
      <c r="N28" s="24" t="n">
        <v>45824</v>
      </c>
      <c r="O28" s="25" t="n">
        <f aca="false">INT((N28-D28)/365.25)</f>
        <v>23</v>
      </c>
      <c r="P28" s="12" t="s">
        <v>22</v>
      </c>
    </row>
    <row r="29" customFormat="false" ht="15" hidden="false" customHeight="false" outlineLevel="0" collapsed="false">
      <c r="A29" s="51" t="n">
        <v>25</v>
      </c>
      <c r="B29" s="10" t="n">
        <v>872091</v>
      </c>
      <c r="C29" s="11" t="s">
        <v>1171</v>
      </c>
      <c r="D29" s="12" t="n">
        <v>32235</v>
      </c>
      <c r="E29" s="11" t="s">
        <v>1104</v>
      </c>
      <c r="F29" s="11" t="s">
        <v>160</v>
      </c>
      <c r="G29" s="11" t="s">
        <v>1172</v>
      </c>
      <c r="H29" s="11" t="n">
        <v>389704982</v>
      </c>
      <c r="I29" s="11" t="n">
        <v>3751827</v>
      </c>
      <c r="J29" s="11" t="n">
        <v>1885</v>
      </c>
      <c r="K29" s="11" t="s">
        <v>22</v>
      </c>
      <c r="L29" s="11" t="n">
        <v>82996549533</v>
      </c>
      <c r="M29" s="11" t="s">
        <v>1107</v>
      </c>
      <c r="N29" s="24" t="n">
        <v>45824</v>
      </c>
      <c r="O29" s="25" t="n">
        <f aca="false">INT((N29-D29)/365.25)</f>
        <v>37</v>
      </c>
      <c r="P29" s="12" t="s">
        <v>22</v>
      </c>
    </row>
    <row r="30" customFormat="false" ht="15" hidden="false" customHeight="false" outlineLevel="0" collapsed="false">
      <c r="A30" s="51" t="n">
        <v>26</v>
      </c>
      <c r="B30" s="10" t="n">
        <v>759605</v>
      </c>
      <c r="C30" s="11" t="s">
        <v>1173</v>
      </c>
      <c r="D30" s="12" t="n">
        <v>30489</v>
      </c>
      <c r="E30" s="11" t="s">
        <v>1104</v>
      </c>
      <c r="F30" s="11" t="s">
        <v>160</v>
      </c>
      <c r="G30" s="11" t="s">
        <v>1174</v>
      </c>
      <c r="H30" s="11" t="n">
        <v>2118250</v>
      </c>
      <c r="I30" s="11" t="n">
        <v>580179</v>
      </c>
      <c r="J30" s="11" t="n">
        <v>7459</v>
      </c>
      <c r="K30" s="11" t="s">
        <v>22</v>
      </c>
      <c r="L30" s="11" t="n">
        <v>82991274029</v>
      </c>
      <c r="M30" s="11" t="s">
        <v>1107</v>
      </c>
      <c r="N30" s="24" t="n">
        <v>45824</v>
      </c>
      <c r="O30" s="25" t="n">
        <f aca="false">INT((N30-D30)/365.25)</f>
        <v>41</v>
      </c>
      <c r="P30" s="12" t="s">
        <v>22</v>
      </c>
    </row>
    <row r="31" customFormat="false" ht="15" hidden="false" customHeight="false" outlineLevel="0" collapsed="false">
      <c r="A31" s="51" t="n">
        <v>27</v>
      </c>
      <c r="B31" s="10" t="n">
        <v>688130</v>
      </c>
      <c r="C31" s="11" t="s">
        <v>1175</v>
      </c>
      <c r="D31" s="12" t="n">
        <v>30914</v>
      </c>
      <c r="E31" s="11" t="s">
        <v>1104</v>
      </c>
      <c r="F31" s="11" t="s">
        <v>160</v>
      </c>
      <c r="G31" s="11" t="s">
        <v>1176</v>
      </c>
      <c r="H31" s="11" t="s">
        <v>1177</v>
      </c>
      <c r="I31" s="11" t="n">
        <v>778198</v>
      </c>
      <c r="J31" s="11" t="n">
        <v>1464</v>
      </c>
      <c r="K31" s="11" t="s">
        <v>22</v>
      </c>
      <c r="L31" s="11" t="n">
        <v>82999404951</v>
      </c>
      <c r="M31" s="11" t="s">
        <v>1107</v>
      </c>
      <c r="N31" s="24" t="n">
        <v>45824</v>
      </c>
      <c r="O31" s="25" t="n">
        <f aca="false">INT((N31-D31)/365.25)</f>
        <v>40</v>
      </c>
      <c r="P31" s="12" t="s">
        <v>22</v>
      </c>
    </row>
    <row r="32" customFormat="false" ht="15" hidden="false" customHeight="false" outlineLevel="0" collapsed="false">
      <c r="A32" s="51" t="n">
        <v>28</v>
      </c>
      <c r="B32" s="10" t="n">
        <v>869466</v>
      </c>
      <c r="C32" s="11" t="s">
        <v>1178</v>
      </c>
      <c r="D32" s="12" t="n">
        <v>38710</v>
      </c>
      <c r="E32" s="11" t="s">
        <v>1104</v>
      </c>
      <c r="F32" s="11" t="s">
        <v>160</v>
      </c>
      <c r="G32" s="11" t="s">
        <v>1179</v>
      </c>
      <c r="H32" s="11" t="n">
        <v>45246830</v>
      </c>
      <c r="I32" s="11" t="n">
        <v>1407912</v>
      </c>
      <c r="J32" s="11" t="n">
        <v>460</v>
      </c>
      <c r="K32" s="11" t="s">
        <v>22</v>
      </c>
      <c r="L32" s="11" t="n">
        <v>82993823040</v>
      </c>
      <c r="M32" s="11" t="s">
        <v>1107</v>
      </c>
      <c r="N32" s="24" t="n">
        <v>45824</v>
      </c>
      <c r="O32" s="25" t="n">
        <f aca="false">INT((N32-D32)/365.25)</f>
        <v>19</v>
      </c>
      <c r="P32" s="12" t="s">
        <v>22</v>
      </c>
    </row>
    <row r="33" customFormat="false" ht="15" hidden="false" customHeight="false" outlineLevel="0" collapsed="false">
      <c r="A33" s="51" t="n">
        <v>29</v>
      </c>
      <c r="B33" s="10" t="n">
        <v>847638</v>
      </c>
      <c r="C33" s="11" t="s">
        <v>1180</v>
      </c>
      <c r="D33" s="12" t="n">
        <v>31281</v>
      </c>
      <c r="E33" s="11" t="s">
        <v>1104</v>
      </c>
      <c r="F33" s="11" t="s">
        <v>160</v>
      </c>
      <c r="G33" s="11" t="s">
        <v>1181</v>
      </c>
      <c r="H33" s="11" t="s">
        <v>1182</v>
      </c>
      <c r="I33" s="11" t="n">
        <v>725708</v>
      </c>
      <c r="J33" s="11" t="n">
        <v>4416</v>
      </c>
      <c r="K33" s="11" t="s">
        <v>22</v>
      </c>
      <c r="L33" s="11" t="n">
        <v>82991988347</v>
      </c>
      <c r="M33" s="11" t="s">
        <v>1107</v>
      </c>
      <c r="N33" s="24" t="n">
        <v>45824</v>
      </c>
      <c r="O33" s="25" t="n">
        <f aca="false">INT((N33-D33)/365.25)</f>
        <v>39</v>
      </c>
      <c r="P33" s="12" t="s">
        <v>22</v>
      </c>
    </row>
    <row r="34" customFormat="false" ht="15" hidden="false" customHeight="false" outlineLevel="0" collapsed="false">
      <c r="A34" s="51" t="n">
        <v>30</v>
      </c>
      <c r="B34" s="10" t="n">
        <v>822557</v>
      </c>
      <c r="C34" s="11" t="s">
        <v>1183</v>
      </c>
      <c r="D34" s="12" t="n">
        <v>30904</v>
      </c>
      <c r="E34" s="11" t="s">
        <v>1184</v>
      </c>
      <c r="F34" s="11" t="s">
        <v>160</v>
      </c>
      <c r="G34" s="11" t="s">
        <v>1185</v>
      </c>
      <c r="H34" s="11" t="s">
        <v>1186</v>
      </c>
      <c r="I34" s="11" t="n">
        <v>617106</v>
      </c>
      <c r="J34" s="11" t="n">
        <v>6494</v>
      </c>
      <c r="K34" s="11" t="s">
        <v>22</v>
      </c>
      <c r="L34" s="11" t="n">
        <v>82999808584</v>
      </c>
      <c r="M34" s="11" t="s">
        <v>1107</v>
      </c>
      <c r="N34" s="24" t="n">
        <v>45824</v>
      </c>
      <c r="O34" s="25" t="n">
        <f aca="false">INT((N34-D34)/365.25)</f>
        <v>40</v>
      </c>
      <c r="P34" s="12" t="s">
        <v>22</v>
      </c>
    </row>
    <row r="35" customFormat="false" ht="15" hidden="false" customHeight="false" outlineLevel="0" collapsed="false">
      <c r="A35" s="51" t="n">
        <v>31</v>
      </c>
      <c r="B35" s="10" t="n">
        <v>819535</v>
      </c>
      <c r="C35" s="11" t="s">
        <v>1187</v>
      </c>
      <c r="D35" s="12" t="n">
        <v>36174</v>
      </c>
      <c r="E35" s="11" t="s">
        <v>1104</v>
      </c>
      <c r="F35" s="11" t="s">
        <v>160</v>
      </c>
      <c r="G35" s="11" t="s">
        <v>1188</v>
      </c>
      <c r="H35" s="11" t="s">
        <v>1189</v>
      </c>
      <c r="I35" s="11" t="n">
        <v>1276973</v>
      </c>
      <c r="J35" s="11" t="n">
        <v>1440</v>
      </c>
      <c r="K35" s="11" t="s">
        <v>22</v>
      </c>
      <c r="L35" s="11" t="n">
        <v>82999932058</v>
      </c>
      <c r="M35" s="11" t="s">
        <v>1107</v>
      </c>
      <c r="N35" s="24" t="n">
        <v>45824</v>
      </c>
      <c r="O35" s="25" t="n">
        <f aca="false">INT((N35-D35)/365.25)</f>
        <v>26</v>
      </c>
      <c r="P35" s="12" t="s">
        <v>22</v>
      </c>
    </row>
    <row r="36" customFormat="false" ht="15" hidden="false" customHeight="false" outlineLevel="0" collapsed="false">
      <c r="A36" s="51" t="n">
        <v>32</v>
      </c>
      <c r="B36" s="10" t="n">
        <v>802798</v>
      </c>
      <c r="C36" s="11" t="s">
        <v>1190</v>
      </c>
      <c r="D36" s="12" t="n">
        <v>31428</v>
      </c>
      <c r="E36" s="11" t="s">
        <v>1104</v>
      </c>
      <c r="F36" s="11" t="s">
        <v>160</v>
      </c>
      <c r="G36" s="11" t="s">
        <v>1191</v>
      </c>
      <c r="H36" s="11" t="s">
        <v>1192</v>
      </c>
      <c r="I36" s="11" t="n">
        <v>754454</v>
      </c>
      <c r="J36" s="11" t="n">
        <v>1428</v>
      </c>
      <c r="K36" s="11" t="s">
        <v>22</v>
      </c>
      <c r="L36" s="11" t="n">
        <v>82987874597</v>
      </c>
      <c r="M36" s="11" t="s">
        <v>1107</v>
      </c>
      <c r="N36" s="24" t="n">
        <v>45824</v>
      </c>
      <c r="O36" s="25" t="n">
        <f aca="false">INT((N36-D36)/365.25)</f>
        <v>39</v>
      </c>
      <c r="P36" s="12" t="s">
        <v>22</v>
      </c>
    </row>
    <row r="37" customFormat="false" ht="15" hidden="false" customHeight="false" outlineLevel="0" collapsed="false">
      <c r="A37" s="51" t="n">
        <v>33</v>
      </c>
      <c r="B37" s="10" t="n">
        <v>869369</v>
      </c>
      <c r="C37" s="11" t="s">
        <v>1193</v>
      </c>
      <c r="D37" s="12" t="n">
        <v>38477</v>
      </c>
      <c r="E37" s="11" t="s">
        <v>1114</v>
      </c>
      <c r="F37" s="11" t="s">
        <v>160</v>
      </c>
      <c r="G37" s="11" t="s">
        <v>1194</v>
      </c>
      <c r="H37" s="11" t="s">
        <v>1195</v>
      </c>
      <c r="I37" s="11" t="n">
        <v>1552791</v>
      </c>
      <c r="J37" s="11" t="n">
        <v>8401</v>
      </c>
      <c r="K37" s="11" t="s">
        <v>22</v>
      </c>
      <c r="L37" s="11" t="n">
        <v>82996508562</v>
      </c>
      <c r="M37" s="11" t="s">
        <v>1107</v>
      </c>
      <c r="N37" s="24" t="n">
        <v>45824</v>
      </c>
      <c r="O37" s="25" t="n">
        <f aca="false">INT((N37-D37)/365.25)</f>
        <v>20</v>
      </c>
      <c r="P37" s="12" t="s">
        <v>22</v>
      </c>
    </row>
    <row r="38" customFormat="false" ht="15" hidden="false" customHeight="false" outlineLevel="0" collapsed="false">
      <c r="A38" s="51" t="n">
        <v>34</v>
      </c>
      <c r="B38" s="10" t="n">
        <v>859471</v>
      </c>
      <c r="C38" s="11" t="s">
        <v>1196</v>
      </c>
      <c r="D38" s="12" t="n">
        <v>31777</v>
      </c>
      <c r="E38" s="11" t="s">
        <v>1104</v>
      </c>
      <c r="F38" s="11" t="s">
        <v>160</v>
      </c>
      <c r="G38" s="11" t="s">
        <v>1197</v>
      </c>
      <c r="H38" s="11" t="s">
        <v>1198</v>
      </c>
      <c r="I38" s="11" t="n">
        <v>76567</v>
      </c>
      <c r="J38" s="11" t="n">
        <v>145</v>
      </c>
      <c r="K38" s="11" t="s">
        <v>22</v>
      </c>
      <c r="L38" s="11" t="n">
        <v>82987509479</v>
      </c>
      <c r="M38" s="11" t="s">
        <v>1107</v>
      </c>
      <c r="N38" s="24" t="n">
        <v>45824</v>
      </c>
      <c r="O38" s="25" t="n">
        <f aca="false">INT((N38-D38)/365.25)</f>
        <v>38</v>
      </c>
      <c r="P38" s="12" t="s">
        <v>22</v>
      </c>
    </row>
    <row r="39" customFormat="false" ht="15" hidden="false" customHeight="false" outlineLevel="0" collapsed="false">
      <c r="A39" s="51" t="n">
        <v>35</v>
      </c>
      <c r="B39" s="10" t="n">
        <v>805342</v>
      </c>
      <c r="C39" s="11" t="s">
        <v>1199</v>
      </c>
      <c r="D39" s="12" t="n">
        <v>32642</v>
      </c>
      <c r="E39" s="11" t="s">
        <v>1104</v>
      </c>
      <c r="F39" s="11" t="s">
        <v>160</v>
      </c>
      <c r="G39" s="11" t="s">
        <v>1200</v>
      </c>
      <c r="H39" s="11" t="s">
        <v>1201</v>
      </c>
      <c r="I39" s="11" t="n">
        <v>23789</v>
      </c>
      <c r="J39" s="11" t="n">
        <v>25</v>
      </c>
      <c r="K39" s="11" t="s">
        <v>22</v>
      </c>
      <c r="L39" s="11" t="n">
        <v>82999589683</v>
      </c>
      <c r="M39" s="11" t="s">
        <v>1107</v>
      </c>
      <c r="N39" s="24" t="n">
        <v>45824</v>
      </c>
      <c r="O39" s="25" t="n">
        <f aca="false">INT((N39-D39)/365.25)</f>
        <v>36</v>
      </c>
      <c r="P39" s="12" t="s">
        <v>22</v>
      </c>
    </row>
    <row r="40" customFormat="false" ht="15" hidden="false" customHeight="false" outlineLevel="0" collapsed="false">
      <c r="A40" s="51" t="n">
        <v>36</v>
      </c>
      <c r="B40" s="10" t="n">
        <v>847657</v>
      </c>
      <c r="C40" s="11" t="s">
        <v>1202</v>
      </c>
      <c r="D40" s="12" t="n">
        <v>37372</v>
      </c>
      <c r="E40" s="11" t="s">
        <v>1114</v>
      </c>
      <c r="F40" s="11" t="s">
        <v>160</v>
      </c>
      <c r="G40" s="11" t="s">
        <v>1203</v>
      </c>
      <c r="H40" s="11" t="s">
        <v>1204</v>
      </c>
      <c r="I40" s="11" t="n">
        <v>1509841</v>
      </c>
      <c r="J40" s="11" t="n">
        <v>7414</v>
      </c>
      <c r="K40" s="11" t="s">
        <v>22</v>
      </c>
      <c r="L40" s="11" t="n">
        <v>82999992600</v>
      </c>
      <c r="M40" s="11" t="s">
        <v>1107</v>
      </c>
      <c r="N40" s="24" t="n">
        <v>45824</v>
      </c>
      <c r="O40" s="25" t="n">
        <f aca="false">INT((N40-D40)/365.25)</f>
        <v>23</v>
      </c>
      <c r="P40" s="12" t="s">
        <v>22</v>
      </c>
    </row>
  </sheetData>
  <mergeCells count="1">
    <mergeCell ref="A1:P2"/>
  </mergeCells>
  <conditionalFormatting sqref="O5:O40">
    <cfRule type="colorScale" priority="2">
      <colorScale>
        <cfvo type="num" val="17"/>
        <cfvo type="num" val="18"/>
        <color rgb="FFFF0000"/>
        <color rgb="FF92D050"/>
      </colorScale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4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M15" activeCellId="0" sqref="M15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6.86"/>
    <col collapsed="false" customWidth="true" hidden="false" outlineLevel="0" max="3" min="3" style="0" width="34"/>
    <col collapsed="false" customWidth="true" hidden="false" outlineLevel="0" max="4" min="4" style="0" width="9"/>
    <col collapsed="false" customWidth="true" hidden="false" outlineLevel="0" max="5" min="5" style="0" width="21.71"/>
    <col collapsed="false" customWidth="true" hidden="false" outlineLevel="0" max="6" min="6" style="0" width="6.43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7.72"/>
    <col collapsed="false" customWidth="true" hidden="false" outlineLevel="0" max="10" min="10" style="0" width="5.14"/>
    <col collapsed="false" customWidth="true" hidden="true" outlineLevel="0" max="11" min="11" style="0" width="6.14"/>
    <col collapsed="false" customWidth="true" hidden="true" outlineLevel="0" max="12" min="12" style="0" width="38.14"/>
    <col collapsed="false" customWidth="true" hidden="false" outlineLevel="0" max="13" min="13" style="0" width="17.29"/>
    <col collapsed="false" customWidth="true" hidden="false" outlineLevel="0" max="14" min="14" style="0" width="9.29"/>
    <col collapsed="false" customWidth="true" hidden="false" outlineLevel="0" max="15" min="15" style="0" width="5.71"/>
    <col collapsed="false" customWidth="true" hidden="false" outlineLevel="0" max="16" min="16" style="0" width="7"/>
    <col collapsed="false" customWidth="true" hidden="true" outlineLevel="0" max="17" min="17" style="0" width="14.86"/>
  </cols>
  <sheetData>
    <row r="1" customFormat="false" ht="15" hidden="false" customHeight="false" outlineLevel="0" collapsed="false">
      <c r="A1" s="54" t="s">
        <v>1205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</row>
    <row r="2" customFormat="false" ht="15" hidden="false" customHeight="false" outlineLevel="0" collapsed="false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</row>
    <row r="3" customFormat="false" ht="15" hidden="false" customHeight="false" outlineLevel="0" collapsed="false">
      <c r="A3" s="43"/>
      <c r="B3" s="44" t="s">
        <v>1</v>
      </c>
      <c r="C3" s="44" t="s">
        <v>2</v>
      </c>
      <c r="D3" s="44" t="s">
        <v>3</v>
      </c>
      <c r="E3" s="44" t="s">
        <v>4</v>
      </c>
      <c r="F3" s="44" t="s">
        <v>5</v>
      </c>
      <c r="G3" s="45" t="s">
        <v>6</v>
      </c>
      <c r="H3" s="44" t="s">
        <v>7</v>
      </c>
      <c r="I3" s="44" t="s">
        <v>8</v>
      </c>
      <c r="J3" s="44" t="s">
        <v>9</v>
      </c>
      <c r="K3" s="44" t="s">
        <v>10</v>
      </c>
      <c r="L3" s="44" t="s">
        <v>1101</v>
      </c>
      <c r="M3" s="44" t="s">
        <v>11</v>
      </c>
      <c r="N3" s="44" t="s">
        <v>12</v>
      </c>
      <c r="O3" s="44" t="s">
        <v>13</v>
      </c>
      <c r="P3" s="44" t="s">
        <v>16</v>
      </c>
      <c r="Q3" s="11" t="s">
        <v>1206</v>
      </c>
    </row>
    <row r="4" customFormat="false" ht="15" hidden="false" customHeight="false" outlineLevel="0" collapsed="false">
      <c r="A4" s="46"/>
      <c r="B4" s="47"/>
      <c r="C4" s="44" t="s">
        <v>1207</v>
      </c>
      <c r="D4" s="48"/>
      <c r="E4" s="47"/>
      <c r="F4" s="47"/>
      <c r="G4" s="47"/>
      <c r="H4" s="47"/>
      <c r="I4" s="47"/>
      <c r="J4" s="47"/>
      <c r="K4" s="47"/>
      <c r="L4" s="47"/>
      <c r="M4" s="49"/>
      <c r="N4" s="50"/>
      <c r="O4" s="44"/>
      <c r="P4" s="44"/>
      <c r="Q4" s="11"/>
    </row>
    <row r="5" customFormat="false" ht="15" hidden="false" customHeight="false" outlineLevel="0" collapsed="false">
      <c r="A5" s="51" t="n">
        <v>1</v>
      </c>
      <c r="B5" s="10" t="n">
        <v>846181</v>
      </c>
      <c r="C5" s="11" t="s">
        <v>1208</v>
      </c>
      <c r="D5" s="12" t="n">
        <v>33309</v>
      </c>
      <c r="E5" s="11" t="s">
        <v>927</v>
      </c>
      <c r="F5" s="11" t="s">
        <v>165</v>
      </c>
      <c r="G5" s="11" t="s">
        <v>1209</v>
      </c>
      <c r="H5" s="11" t="n">
        <v>7442008</v>
      </c>
      <c r="I5" s="11" t="n">
        <v>357581</v>
      </c>
      <c r="J5" s="11" t="n">
        <v>4236</v>
      </c>
      <c r="K5" s="11" t="s">
        <v>22</v>
      </c>
      <c r="L5" s="11" t="n">
        <v>34998380742</v>
      </c>
      <c r="M5" s="11" t="s">
        <v>1210</v>
      </c>
      <c r="N5" s="24" t="n">
        <v>45822</v>
      </c>
      <c r="O5" s="25" t="n">
        <f aca="false">INT((N5-D5)/365.25)</f>
        <v>34</v>
      </c>
      <c r="P5" s="12" t="s">
        <v>22</v>
      </c>
      <c r="Q5" s="11"/>
    </row>
    <row r="6" customFormat="false" ht="16.4" hidden="false" customHeight="false" outlineLevel="0" collapsed="false">
      <c r="A6" s="51" t="n">
        <v>2</v>
      </c>
      <c r="B6" s="10" t="n">
        <v>869375</v>
      </c>
      <c r="C6" s="11" t="s">
        <v>1211</v>
      </c>
      <c r="D6" s="12" t="n">
        <v>36912</v>
      </c>
      <c r="E6" s="11" t="s">
        <v>927</v>
      </c>
      <c r="F6" s="11" t="s">
        <v>165</v>
      </c>
      <c r="G6" s="11" t="s">
        <v>1212</v>
      </c>
      <c r="H6" s="11" t="n">
        <v>9443506</v>
      </c>
      <c r="I6" s="11" t="n">
        <v>7099567</v>
      </c>
      <c r="J6" s="11" t="n">
        <v>3225</v>
      </c>
      <c r="K6" s="11" t="s">
        <v>22</v>
      </c>
      <c r="L6" s="55" t="s">
        <v>1213</v>
      </c>
      <c r="M6" s="11" t="s">
        <v>1210</v>
      </c>
      <c r="N6" s="24" t="n">
        <v>45822</v>
      </c>
      <c r="O6" s="25" t="n">
        <f aca="false">INT((N6-D6)/365.25)</f>
        <v>24</v>
      </c>
      <c r="P6" s="12" t="s">
        <v>22</v>
      </c>
      <c r="Q6" s="11"/>
    </row>
    <row r="7" customFormat="false" ht="15" hidden="false" customHeight="false" outlineLevel="0" collapsed="false">
      <c r="A7" s="51" t="n">
        <v>3</v>
      </c>
      <c r="B7" s="10" t="n">
        <v>842125</v>
      </c>
      <c r="C7" s="11" t="s">
        <v>1214</v>
      </c>
      <c r="D7" s="12" t="n">
        <v>36596</v>
      </c>
      <c r="E7" s="11" t="s">
        <v>927</v>
      </c>
      <c r="F7" s="11" t="s">
        <v>165</v>
      </c>
      <c r="G7" s="11" t="s">
        <v>1215</v>
      </c>
      <c r="H7" s="11" t="n">
        <v>8495672</v>
      </c>
      <c r="I7" s="11" t="n">
        <v>5385761</v>
      </c>
      <c r="J7" s="11" t="n">
        <v>1206</v>
      </c>
      <c r="K7" s="11" t="s">
        <v>22</v>
      </c>
      <c r="L7" s="55"/>
      <c r="M7" s="11" t="s">
        <v>1210</v>
      </c>
      <c r="N7" s="24" t="n">
        <v>45822</v>
      </c>
      <c r="O7" s="25" t="n">
        <f aca="false">INT((N7-D7)/365.25)</f>
        <v>25</v>
      </c>
      <c r="P7" s="12" t="s">
        <v>22</v>
      </c>
      <c r="Q7" s="11"/>
    </row>
    <row r="8" customFormat="false" ht="15" hidden="false" customHeight="false" outlineLevel="0" collapsed="false">
      <c r="A8" s="51" t="n">
        <v>4</v>
      </c>
      <c r="B8" s="52" t="n">
        <v>829229</v>
      </c>
      <c r="C8" s="53" t="s">
        <v>1216</v>
      </c>
      <c r="D8" s="12" t="n">
        <v>35260</v>
      </c>
      <c r="E8" s="11" t="s">
        <v>927</v>
      </c>
      <c r="F8" s="11" t="s">
        <v>165</v>
      </c>
      <c r="G8" s="11" t="s">
        <v>1217</v>
      </c>
      <c r="H8" s="11" t="n">
        <v>7531635</v>
      </c>
      <c r="I8" s="11" t="n">
        <v>329667</v>
      </c>
      <c r="J8" s="11" t="n">
        <v>2206</v>
      </c>
      <c r="K8" s="11" t="s">
        <v>22</v>
      </c>
      <c r="L8" s="11" t="n">
        <v>34991978868</v>
      </c>
      <c r="M8" s="11" t="s">
        <v>1210</v>
      </c>
      <c r="N8" s="24" t="n">
        <v>45822</v>
      </c>
      <c r="O8" s="25" t="n">
        <f aca="false">INT((N8-D8)/365.25)</f>
        <v>28</v>
      </c>
      <c r="P8" s="12" t="s">
        <v>22</v>
      </c>
      <c r="Q8" s="11" t="s">
        <v>1218</v>
      </c>
    </row>
    <row r="9" customFormat="false" ht="16.4" hidden="false" customHeight="false" outlineLevel="0" collapsed="false">
      <c r="A9" s="51" t="n">
        <v>5</v>
      </c>
      <c r="B9" s="10" t="n">
        <v>818838</v>
      </c>
      <c r="C9" s="11" t="s">
        <v>1219</v>
      </c>
      <c r="D9" s="12" t="n">
        <v>35914</v>
      </c>
      <c r="E9" s="11" t="s">
        <v>491</v>
      </c>
      <c r="F9" s="11" t="s">
        <v>165</v>
      </c>
      <c r="G9" s="11" t="s">
        <v>1220</v>
      </c>
      <c r="H9" s="11" t="n">
        <v>7977750</v>
      </c>
      <c r="I9" s="11" t="n">
        <v>573283</v>
      </c>
      <c r="J9" s="11" t="n">
        <v>8260</v>
      </c>
      <c r="K9" s="11" t="s">
        <v>22</v>
      </c>
      <c r="L9" s="55" t="s">
        <v>1221</v>
      </c>
      <c r="M9" s="11" t="s">
        <v>1210</v>
      </c>
      <c r="N9" s="24" t="n">
        <v>45822</v>
      </c>
      <c r="O9" s="25" t="n">
        <f aca="false">INT((N9-D9)/365.25)</f>
        <v>27</v>
      </c>
      <c r="P9" s="12" t="s">
        <v>22</v>
      </c>
      <c r="Q9" s="11"/>
    </row>
    <row r="10" customFormat="false" ht="15" hidden="false" customHeight="false" outlineLevel="0" collapsed="false">
      <c r="A10" s="51" t="n">
        <v>6</v>
      </c>
      <c r="B10" s="10" t="n">
        <v>489755</v>
      </c>
      <c r="C10" s="11" t="s">
        <v>1222</v>
      </c>
      <c r="D10" s="12" t="n">
        <v>26322</v>
      </c>
      <c r="E10" s="11" t="s">
        <v>927</v>
      </c>
      <c r="F10" s="11" t="s">
        <v>165</v>
      </c>
      <c r="G10" s="11" t="s">
        <v>1223</v>
      </c>
      <c r="H10" s="11" t="n">
        <v>7349609</v>
      </c>
      <c r="I10" s="11" t="n">
        <v>61861</v>
      </c>
      <c r="J10" s="11" t="n">
        <v>67</v>
      </c>
      <c r="K10" s="11" t="s">
        <v>22</v>
      </c>
      <c r="L10" s="55" t="n">
        <v>14991621031</v>
      </c>
      <c r="M10" s="11" t="s">
        <v>1210</v>
      </c>
      <c r="N10" s="24" t="n">
        <v>45822</v>
      </c>
      <c r="O10" s="25" t="n">
        <f aca="false">INT((N10-D10)/365.25)</f>
        <v>53</v>
      </c>
      <c r="P10" s="12" t="s">
        <v>22</v>
      </c>
      <c r="Q10" s="11"/>
    </row>
    <row r="11" customFormat="false" ht="15" hidden="false" customHeight="false" outlineLevel="0" collapsed="false">
      <c r="A11" s="51" t="n">
        <v>7</v>
      </c>
      <c r="B11" s="10" t="n">
        <v>830803</v>
      </c>
      <c r="C11" s="11" t="s">
        <v>1224</v>
      </c>
      <c r="D11" s="12" t="n">
        <v>38112</v>
      </c>
      <c r="E11" s="11" t="s">
        <v>927</v>
      </c>
      <c r="F11" s="11" t="s">
        <v>165</v>
      </c>
      <c r="G11" s="11" t="s">
        <v>1225</v>
      </c>
      <c r="H11" s="11" t="n">
        <v>9893911</v>
      </c>
      <c r="I11" s="11" t="n">
        <v>1019799</v>
      </c>
      <c r="J11" s="11" t="n">
        <v>8208</v>
      </c>
      <c r="K11" s="11" t="s">
        <v>22</v>
      </c>
      <c r="L11" s="11" t="n">
        <v>91985825385</v>
      </c>
      <c r="M11" s="11" t="s">
        <v>1210</v>
      </c>
      <c r="N11" s="24" t="n">
        <v>45822</v>
      </c>
      <c r="O11" s="25" t="n">
        <f aca="false">INT((N11-D11)/365.25)</f>
        <v>21</v>
      </c>
      <c r="P11" s="12" t="s">
        <v>22</v>
      </c>
      <c r="Q11" s="11"/>
    </row>
    <row r="12" customFormat="false" ht="15" hidden="false" customHeight="false" outlineLevel="0" collapsed="false">
      <c r="A12" s="51" t="n">
        <v>8</v>
      </c>
      <c r="B12" s="10" t="n">
        <v>869823</v>
      </c>
      <c r="C12" s="11" t="s">
        <v>1226</v>
      </c>
      <c r="D12" s="12" t="n">
        <v>39100</v>
      </c>
      <c r="E12" s="11" t="s">
        <v>927</v>
      </c>
      <c r="F12" s="11" t="s">
        <v>165</v>
      </c>
      <c r="G12" s="11" t="s">
        <v>1227</v>
      </c>
      <c r="H12" s="11" t="n">
        <v>10629572</v>
      </c>
      <c r="I12" s="11" t="n">
        <v>894469</v>
      </c>
      <c r="J12" s="11" t="n">
        <v>294</v>
      </c>
      <c r="K12" s="11" t="s">
        <v>22</v>
      </c>
      <c r="L12" s="11"/>
      <c r="M12" s="11" t="s">
        <v>1210</v>
      </c>
      <c r="N12" s="24" t="n">
        <v>45822</v>
      </c>
      <c r="O12" s="25" t="n">
        <f aca="false">INT((N12-D12)/365.25)</f>
        <v>18</v>
      </c>
      <c r="P12" s="12" t="s">
        <v>22</v>
      </c>
      <c r="Q12" s="11"/>
    </row>
    <row r="13" customFormat="false" ht="15" hidden="false" customHeight="false" outlineLevel="0" collapsed="false">
      <c r="A13" s="51" t="n">
        <v>9</v>
      </c>
      <c r="B13" s="10" t="n">
        <v>869378</v>
      </c>
      <c r="C13" s="11" t="s">
        <v>1228</v>
      </c>
      <c r="D13" s="12" t="n">
        <v>39037</v>
      </c>
      <c r="E13" s="11" t="s">
        <v>927</v>
      </c>
      <c r="F13" s="11" t="s">
        <v>165</v>
      </c>
      <c r="G13" s="11" t="s">
        <v>1229</v>
      </c>
      <c r="H13" s="11" t="n">
        <v>10570948</v>
      </c>
      <c r="I13" s="11" t="n">
        <v>1065182</v>
      </c>
      <c r="J13" s="11" t="n">
        <v>5202</v>
      </c>
      <c r="K13" s="11" t="s">
        <v>22</v>
      </c>
      <c r="L13" s="11" t="n">
        <v>91984431192</v>
      </c>
      <c r="M13" s="11" t="s">
        <v>1210</v>
      </c>
      <c r="N13" s="24" t="n">
        <v>45822</v>
      </c>
      <c r="O13" s="25" t="n">
        <f aca="false">INT((N13-D13)/365.25)</f>
        <v>18</v>
      </c>
      <c r="P13" s="12" t="s">
        <v>22</v>
      </c>
      <c r="Q13" s="11"/>
    </row>
    <row r="14" customFormat="false" ht="15" hidden="false" customHeight="false" outlineLevel="0" collapsed="false">
      <c r="A14" s="51" t="n">
        <v>10</v>
      </c>
      <c r="B14" s="10" t="n">
        <v>847325</v>
      </c>
      <c r="C14" s="11" t="s">
        <v>1230</v>
      </c>
      <c r="D14" s="12" t="n">
        <v>37917</v>
      </c>
      <c r="E14" s="11" t="s">
        <v>927</v>
      </c>
      <c r="F14" s="11" t="s">
        <v>165</v>
      </c>
      <c r="G14" s="11" t="s">
        <v>1231</v>
      </c>
      <c r="H14" s="11" t="n">
        <v>9433408</v>
      </c>
      <c r="I14" s="11" t="n">
        <v>803800</v>
      </c>
      <c r="J14" s="11" t="n">
        <v>6224</v>
      </c>
      <c r="K14" s="11" t="s">
        <v>22</v>
      </c>
      <c r="L14" s="11" t="n">
        <v>34988307656</v>
      </c>
      <c r="M14" s="11" t="s">
        <v>1210</v>
      </c>
      <c r="N14" s="24" t="n">
        <v>45822</v>
      </c>
      <c r="O14" s="25" t="n">
        <f aca="false">INT((N14-D14)/365.25)</f>
        <v>21</v>
      </c>
      <c r="P14" s="12" t="s">
        <v>22</v>
      </c>
      <c r="Q14" s="11"/>
    </row>
    <row r="15" customFormat="false" ht="15" hidden="false" customHeight="false" outlineLevel="0" collapsed="false">
      <c r="A15" s="51" t="n">
        <v>11</v>
      </c>
      <c r="B15" s="10" t="n">
        <v>847323</v>
      </c>
      <c r="C15" s="11" t="s">
        <v>1232</v>
      </c>
      <c r="D15" s="12" t="n">
        <v>36387</v>
      </c>
      <c r="E15" s="11" t="s">
        <v>478</v>
      </c>
      <c r="F15" s="11" t="s">
        <v>165</v>
      </c>
      <c r="G15" s="11" t="s">
        <v>1233</v>
      </c>
      <c r="H15" s="11" t="n">
        <v>8369056</v>
      </c>
      <c r="I15" s="11" t="n">
        <v>7041885</v>
      </c>
      <c r="J15" s="11" t="n">
        <v>9256</v>
      </c>
      <c r="K15" s="11" t="s">
        <v>22</v>
      </c>
      <c r="L15" s="11"/>
      <c r="M15" s="11" t="s">
        <v>1210</v>
      </c>
      <c r="N15" s="24" t="n">
        <v>45822</v>
      </c>
      <c r="O15" s="25" t="n">
        <f aca="false">INT((N15-D15)/365.25)</f>
        <v>25</v>
      </c>
      <c r="P15" s="12" t="s">
        <v>22</v>
      </c>
      <c r="Q15" s="11"/>
    </row>
    <row r="16" customFormat="false" ht="15" hidden="false" customHeight="false" outlineLevel="0" collapsed="false">
      <c r="A16" s="51" t="n">
        <v>12</v>
      </c>
      <c r="B16" s="10" t="n">
        <v>869661</v>
      </c>
      <c r="C16" s="11" t="s">
        <v>1234</v>
      </c>
      <c r="D16" s="12" t="n">
        <v>36776</v>
      </c>
      <c r="E16" s="11" t="s">
        <v>927</v>
      </c>
      <c r="F16" s="11" t="s">
        <v>165</v>
      </c>
      <c r="G16" s="11" t="s">
        <v>1235</v>
      </c>
      <c r="H16" s="11" t="n">
        <v>8575243</v>
      </c>
      <c r="I16" s="11" t="n">
        <v>532747</v>
      </c>
      <c r="J16" s="11" t="n">
        <v>202</v>
      </c>
      <c r="K16" s="11" t="s">
        <v>22</v>
      </c>
      <c r="L16" s="11"/>
      <c r="M16" s="11" t="s">
        <v>1210</v>
      </c>
      <c r="N16" s="24" t="n">
        <v>45822</v>
      </c>
      <c r="O16" s="25" t="n">
        <f aca="false">INT((N16-D16)/365.25)</f>
        <v>24</v>
      </c>
      <c r="P16" s="12" t="s">
        <v>22</v>
      </c>
      <c r="Q16" s="11"/>
    </row>
    <row r="17" customFormat="false" ht="15" hidden="false" customHeight="false" outlineLevel="0" collapsed="false">
      <c r="A17" s="51" t="n">
        <v>13</v>
      </c>
      <c r="B17" s="10" t="n">
        <v>856444</v>
      </c>
      <c r="C17" s="11" t="s">
        <v>1236</v>
      </c>
      <c r="D17" s="12" t="n">
        <v>38492</v>
      </c>
      <c r="E17" s="11" t="s">
        <v>478</v>
      </c>
      <c r="F17" s="11" t="s">
        <v>165</v>
      </c>
      <c r="G17" s="11" t="s">
        <v>1237</v>
      </c>
      <c r="H17" s="11" t="n">
        <v>9433370</v>
      </c>
      <c r="I17" s="11" t="n">
        <v>897329</v>
      </c>
      <c r="J17" s="11" t="n">
        <v>2285</v>
      </c>
      <c r="K17" s="11" t="s">
        <v>22</v>
      </c>
      <c r="L17" s="11"/>
      <c r="M17" s="11" t="s">
        <v>1210</v>
      </c>
      <c r="N17" s="24" t="n">
        <v>45822</v>
      </c>
      <c r="O17" s="25" t="n">
        <f aca="false">INT((N17-D17)/365.25)</f>
        <v>20</v>
      </c>
      <c r="P17" s="12" t="s">
        <v>22</v>
      </c>
      <c r="Q17" s="11" t="s">
        <v>1238</v>
      </c>
    </row>
    <row r="18" customFormat="false" ht="15" hidden="false" customHeight="false" outlineLevel="0" collapsed="false">
      <c r="A18" s="51" t="n">
        <v>14</v>
      </c>
      <c r="B18" s="10" t="n">
        <v>866965</v>
      </c>
      <c r="C18" s="11" t="s">
        <v>533</v>
      </c>
      <c r="D18" s="12" t="n">
        <v>33344</v>
      </c>
      <c r="E18" s="11" t="s">
        <v>478</v>
      </c>
      <c r="F18" s="11" t="s">
        <v>165</v>
      </c>
      <c r="G18" s="11" t="s">
        <v>534</v>
      </c>
      <c r="H18" s="11" t="n">
        <v>6878159</v>
      </c>
      <c r="I18" s="11" t="n">
        <v>200146</v>
      </c>
      <c r="J18" s="11" t="n">
        <v>4240</v>
      </c>
      <c r="K18" s="11" t="s">
        <v>22</v>
      </c>
      <c r="L18" s="56" t="s">
        <v>1239</v>
      </c>
      <c r="M18" s="11" t="s">
        <v>1210</v>
      </c>
      <c r="N18" s="24" t="n">
        <v>45822</v>
      </c>
      <c r="O18" s="25" t="n">
        <f aca="false">INT((N18-D18)/365.25)</f>
        <v>34</v>
      </c>
      <c r="P18" s="12" t="s">
        <v>22</v>
      </c>
      <c r="Q18" s="11"/>
    </row>
    <row r="19" customFormat="false" ht="15" hidden="false" customHeight="false" outlineLevel="0" collapsed="false">
      <c r="A19" s="51" t="n">
        <v>15</v>
      </c>
      <c r="B19" s="10" t="n">
        <v>869384</v>
      </c>
      <c r="C19" s="11" t="s">
        <v>1240</v>
      </c>
      <c r="D19" s="12" t="n">
        <v>35482</v>
      </c>
      <c r="E19" s="11" t="s">
        <v>478</v>
      </c>
      <c r="F19" s="11" t="s">
        <v>165</v>
      </c>
      <c r="G19" s="11" t="s">
        <v>1241</v>
      </c>
      <c r="H19" s="11" t="n">
        <v>8966049</v>
      </c>
      <c r="I19" s="11" t="n">
        <v>847776</v>
      </c>
      <c r="J19" s="11" t="n">
        <v>3283</v>
      </c>
      <c r="K19" s="11" t="s">
        <v>22</v>
      </c>
      <c r="L19" s="11" t="n">
        <v>91985181741</v>
      </c>
      <c r="M19" s="11" t="s">
        <v>1210</v>
      </c>
      <c r="N19" s="24" t="n">
        <v>45822</v>
      </c>
      <c r="O19" s="25" t="n">
        <f aca="false">INT((N19-D19)/365.25)</f>
        <v>28</v>
      </c>
      <c r="P19" s="12" t="s">
        <v>22</v>
      </c>
      <c r="Q19" s="11"/>
    </row>
    <row r="20" customFormat="false" ht="15" hidden="false" customHeight="false" outlineLevel="0" collapsed="false">
      <c r="A20" s="51" t="n">
        <v>16</v>
      </c>
      <c r="B20" s="10" t="n">
        <v>821709</v>
      </c>
      <c r="C20" s="10" t="s">
        <v>1242</v>
      </c>
      <c r="D20" s="12" t="n">
        <v>34716</v>
      </c>
      <c r="E20" s="11" t="s">
        <v>478</v>
      </c>
      <c r="F20" s="11" t="s">
        <v>165</v>
      </c>
      <c r="G20" s="11" t="s">
        <v>1243</v>
      </c>
      <c r="H20" s="11" t="n">
        <v>7519685</v>
      </c>
      <c r="I20" s="11" t="n">
        <v>320008</v>
      </c>
      <c r="J20" s="11" t="n">
        <v>7200</v>
      </c>
      <c r="K20" s="11" t="s">
        <v>22</v>
      </c>
      <c r="L20" s="11"/>
      <c r="M20" s="11" t="s">
        <v>1210</v>
      </c>
      <c r="N20" s="24" t="n">
        <v>45822</v>
      </c>
      <c r="O20" s="25" t="n">
        <f aca="false">INT((N20-D20)/365.25)</f>
        <v>30</v>
      </c>
      <c r="P20" s="12" t="s">
        <v>22</v>
      </c>
      <c r="Q20" s="11"/>
    </row>
    <row r="21" customFormat="false" ht="15" hidden="false" customHeight="false" outlineLevel="0" collapsed="false">
      <c r="A21" s="51" t="n">
        <v>17</v>
      </c>
      <c r="B21" s="10" t="n">
        <v>819403</v>
      </c>
      <c r="C21" s="11" t="s">
        <v>1244</v>
      </c>
      <c r="D21" s="12" t="n">
        <v>34827</v>
      </c>
      <c r="E21" s="11" t="s">
        <v>478</v>
      </c>
      <c r="F21" s="11" t="s">
        <v>165</v>
      </c>
      <c r="G21" s="11" t="s">
        <v>448</v>
      </c>
      <c r="H21" s="11" t="n">
        <v>8012890</v>
      </c>
      <c r="I21" s="11" t="n">
        <v>24453</v>
      </c>
      <c r="J21" s="11" t="n">
        <v>75</v>
      </c>
      <c r="K21" s="11" t="s">
        <v>22</v>
      </c>
      <c r="L21" s="11" t="n">
        <v>34997372162</v>
      </c>
      <c r="M21" s="11" t="s">
        <v>1210</v>
      </c>
      <c r="N21" s="24" t="n">
        <v>45822</v>
      </c>
      <c r="O21" s="25" t="n">
        <f aca="false">INT((N21-D21)/365.25)</f>
        <v>30</v>
      </c>
      <c r="P21" s="12" t="s">
        <v>22</v>
      </c>
      <c r="Q21" s="11"/>
    </row>
    <row r="22" customFormat="false" ht="15" hidden="false" customHeight="false" outlineLevel="0" collapsed="false">
      <c r="A22" s="51" t="n">
        <v>18</v>
      </c>
      <c r="B22" s="10" t="n">
        <v>871169</v>
      </c>
      <c r="C22" s="11" t="s">
        <v>1245</v>
      </c>
      <c r="D22" s="12" t="n">
        <v>38055</v>
      </c>
      <c r="E22" s="11" t="s">
        <v>491</v>
      </c>
      <c r="F22" s="11" t="s">
        <v>165</v>
      </c>
      <c r="G22" s="11" t="s">
        <v>1246</v>
      </c>
      <c r="H22" s="11" t="n">
        <v>9735848</v>
      </c>
      <c r="I22" s="11" t="n">
        <v>795511</v>
      </c>
      <c r="J22" s="11" t="n">
        <v>6208</v>
      </c>
      <c r="K22" s="11" t="s">
        <v>22</v>
      </c>
      <c r="L22" s="11" t="n">
        <v>91985401967</v>
      </c>
      <c r="M22" s="11" t="s">
        <v>1210</v>
      </c>
      <c r="N22" s="24" t="n">
        <v>45822</v>
      </c>
      <c r="O22" s="25" t="n">
        <f aca="false">INT((N22-D22)/365.25)</f>
        <v>21</v>
      </c>
      <c r="P22" s="12" t="s">
        <v>22</v>
      </c>
      <c r="Q22" s="11" t="s">
        <v>1218</v>
      </c>
    </row>
    <row r="23" customFormat="false" ht="15" hidden="false" customHeight="false" outlineLevel="0" collapsed="false">
      <c r="A23" s="51" t="n">
        <v>19</v>
      </c>
      <c r="B23" s="10" t="n">
        <v>869379</v>
      </c>
      <c r="C23" s="11" t="s">
        <v>1247</v>
      </c>
      <c r="D23" s="12" t="n">
        <v>37471</v>
      </c>
      <c r="E23" s="11" t="s">
        <v>478</v>
      </c>
      <c r="F23" s="11" t="s">
        <v>165</v>
      </c>
      <c r="G23" s="11" t="s">
        <v>1248</v>
      </c>
      <c r="H23" s="57" t="s">
        <v>1249</v>
      </c>
      <c r="I23" s="11" t="n">
        <v>864881</v>
      </c>
      <c r="J23" s="11" t="n">
        <v>8273</v>
      </c>
      <c r="K23" s="11" t="s">
        <v>22</v>
      </c>
      <c r="L23" s="11"/>
      <c r="M23" s="11" t="s">
        <v>1210</v>
      </c>
      <c r="N23" s="24" t="n">
        <v>45822</v>
      </c>
      <c r="O23" s="25" t="n">
        <f aca="false">INT((N23-D23)/365.25)</f>
        <v>22</v>
      </c>
      <c r="P23" s="12" t="s">
        <v>22</v>
      </c>
    </row>
    <row r="24" customFormat="false" ht="15" hidden="false" customHeight="false" outlineLevel="0" collapsed="false">
      <c r="A24" s="51" t="n">
        <v>20</v>
      </c>
      <c r="B24" s="10" t="n">
        <v>872208</v>
      </c>
      <c r="C24" s="11" t="s">
        <v>1250</v>
      </c>
      <c r="D24" s="12" t="n">
        <v>28049</v>
      </c>
      <c r="E24" s="11" t="s">
        <v>1251</v>
      </c>
      <c r="F24" s="11" t="s">
        <v>165</v>
      </c>
      <c r="G24" s="11" t="s">
        <v>1252</v>
      </c>
      <c r="H24" s="11" t="n">
        <v>3250588</v>
      </c>
      <c r="I24" s="11" t="n">
        <v>8693613</v>
      </c>
      <c r="J24" s="11" t="n">
        <v>2104</v>
      </c>
      <c r="K24" s="11" t="s">
        <v>22</v>
      </c>
      <c r="L24" s="11"/>
      <c r="M24" s="11" t="s">
        <v>1210</v>
      </c>
      <c r="N24" s="24" t="n">
        <v>45822</v>
      </c>
      <c r="O24" s="25" t="n">
        <f aca="false">INT((N24-D24)/365.25)</f>
        <v>48</v>
      </c>
      <c r="P24" s="12" t="s">
        <v>22</v>
      </c>
      <c r="Q24" s="11"/>
    </row>
    <row r="25" customFormat="false" ht="15" hidden="false" customHeight="false" outlineLevel="0" collapsed="false">
      <c r="A25" s="51" t="n">
        <v>21</v>
      </c>
      <c r="B25" s="10" t="n">
        <v>835512</v>
      </c>
      <c r="C25" s="11" t="s">
        <v>1253</v>
      </c>
      <c r="D25" s="12" t="n">
        <v>32302</v>
      </c>
      <c r="E25" s="11" t="s">
        <v>1251</v>
      </c>
      <c r="F25" s="11" t="s">
        <v>165</v>
      </c>
      <c r="G25" s="11" t="s">
        <v>1254</v>
      </c>
      <c r="H25" s="11" t="n">
        <v>6573655</v>
      </c>
      <c r="I25" s="11" t="n">
        <v>267710</v>
      </c>
      <c r="J25" s="11" t="n">
        <v>2242</v>
      </c>
      <c r="K25" s="11" t="s">
        <v>22</v>
      </c>
      <c r="L25" s="11" t="n">
        <v>91985416863</v>
      </c>
      <c r="M25" s="11" t="s">
        <v>1210</v>
      </c>
      <c r="N25" s="24" t="n">
        <v>45822</v>
      </c>
      <c r="O25" s="25" t="n">
        <f aca="false">INT((N25-D25)/365.25)</f>
        <v>37</v>
      </c>
      <c r="P25" s="12" t="s">
        <v>22</v>
      </c>
      <c r="Q25" s="11"/>
    </row>
    <row r="26" customFormat="false" ht="15" hidden="false" customHeight="false" outlineLevel="0" collapsed="false">
      <c r="A26" s="51" t="n">
        <v>22</v>
      </c>
      <c r="B26" s="10" t="n">
        <v>870224</v>
      </c>
      <c r="C26" s="11" t="s">
        <v>1255</v>
      </c>
      <c r="D26" s="12" t="n">
        <v>31563</v>
      </c>
      <c r="E26" s="11" t="s">
        <v>1251</v>
      </c>
      <c r="F26" s="11" t="s">
        <v>165</v>
      </c>
      <c r="G26" s="11" t="s">
        <v>1256</v>
      </c>
      <c r="H26" s="11" t="n">
        <v>5688342</v>
      </c>
      <c r="I26" s="11" t="n">
        <v>25605</v>
      </c>
      <c r="J26" s="11" t="n">
        <v>2247</v>
      </c>
      <c r="K26" s="11" t="s">
        <v>22</v>
      </c>
      <c r="L26" s="11"/>
      <c r="M26" s="11" t="s">
        <v>1210</v>
      </c>
      <c r="N26" s="24" t="n">
        <v>45822</v>
      </c>
      <c r="O26" s="25" t="n">
        <f aca="false">INT((N26-D26)/365.25)</f>
        <v>39</v>
      </c>
      <c r="P26" s="12" t="s">
        <v>22</v>
      </c>
      <c r="Q26" s="11"/>
    </row>
    <row r="27" customFormat="false" ht="15" hidden="false" customHeight="false" outlineLevel="0" collapsed="false">
      <c r="A27" s="51" t="n">
        <v>23</v>
      </c>
      <c r="B27" s="10" t="n">
        <v>842061</v>
      </c>
      <c r="C27" s="11" t="s">
        <v>1257</v>
      </c>
      <c r="D27" s="12" t="n">
        <v>38016</v>
      </c>
      <c r="E27" s="11" t="s">
        <v>927</v>
      </c>
      <c r="F27" s="11" t="s">
        <v>165</v>
      </c>
      <c r="G27" s="11" t="s">
        <v>1258</v>
      </c>
      <c r="H27" s="11" t="n">
        <v>10106241</v>
      </c>
      <c r="I27" s="11" t="n">
        <v>1025755</v>
      </c>
      <c r="J27" s="11" t="n">
        <v>4211</v>
      </c>
      <c r="K27" s="11" t="s">
        <v>22</v>
      </c>
      <c r="L27" s="11"/>
      <c r="M27" s="11" t="s">
        <v>1210</v>
      </c>
      <c r="N27" s="24" t="n">
        <v>45822</v>
      </c>
      <c r="O27" s="25" t="n">
        <f aca="false">INT((N27-D27)/365.25)</f>
        <v>21</v>
      </c>
      <c r="P27" s="12" t="s">
        <v>22</v>
      </c>
      <c r="Q27" s="11"/>
    </row>
    <row r="28" customFormat="false" ht="15" hidden="false" customHeight="false" outlineLevel="0" collapsed="false">
      <c r="A28" s="51" t="n">
        <v>24</v>
      </c>
      <c r="B28" s="10" t="n">
        <v>822568</v>
      </c>
      <c r="C28" s="11" t="s">
        <v>1259</v>
      </c>
      <c r="D28" s="12" t="n">
        <v>32124</v>
      </c>
      <c r="E28" s="11" t="s">
        <v>1251</v>
      </c>
      <c r="F28" s="11" t="s">
        <v>165</v>
      </c>
      <c r="G28" s="11" t="s">
        <v>1260</v>
      </c>
      <c r="H28" s="11" t="n">
        <v>6135070</v>
      </c>
      <c r="I28" s="11" t="n">
        <v>27554</v>
      </c>
      <c r="J28" s="11" t="n">
        <v>6276</v>
      </c>
      <c r="K28" s="11" t="s">
        <v>22</v>
      </c>
      <c r="L28" s="11" t="n">
        <v>91982264627</v>
      </c>
      <c r="M28" s="11" t="s">
        <v>1210</v>
      </c>
      <c r="N28" s="24" t="n">
        <v>45822</v>
      </c>
      <c r="O28" s="25" t="n">
        <f aca="false">INT((N28-D28)/365.25)</f>
        <v>37</v>
      </c>
      <c r="P28" s="12" t="s">
        <v>22</v>
      </c>
      <c r="Q28" s="11"/>
    </row>
    <row r="29" customFormat="false" ht="15" hidden="false" customHeight="false" outlineLevel="0" collapsed="false">
      <c r="A29" s="51" t="n">
        <v>25</v>
      </c>
      <c r="B29" s="10" t="n">
        <v>860667</v>
      </c>
      <c r="C29" s="11" t="s">
        <v>1261</v>
      </c>
      <c r="D29" s="12" t="n">
        <v>34795</v>
      </c>
      <c r="E29" s="11" t="s">
        <v>1251</v>
      </c>
      <c r="F29" s="11" t="s">
        <v>165</v>
      </c>
      <c r="G29" s="11" t="s">
        <v>1262</v>
      </c>
      <c r="H29" s="11" t="n">
        <v>7862658</v>
      </c>
      <c r="I29" s="11" t="n">
        <v>7082035</v>
      </c>
      <c r="J29" s="11" t="n">
        <v>1288</v>
      </c>
      <c r="K29" s="11" t="s">
        <v>22</v>
      </c>
      <c r="L29" s="11" t="n">
        <v>91993763278</v>
      </c>
      <c r="M29" s="11" t="s">
        <v>1210</v>
      </c>
      <c r="N29" s="24" t="n">
        <v>45822</v>
      </c>
      <c r="O29" s="25" t="n">
        <f aca="false">INT((N29-D29)/365.25)</f>
        <v>30</v>
      </c>
      <c r="P29" s="12" t="s">
        <v>22</v>
      </c>
      <c r="Q29" s="11"/>
    </row>
    <row r="30" customFormat="false" ht="15" hidden="false" customHeight="false" outlineLevel="0" collapsed="false">
      <c r="A30" s="51" t="n">
        <v>26</v>
      </c>
      <c r="B30" s="10" t="n">
        <v>824029</v>
      </c>
      <c r="C30" s="11" t="s">
        <v>1263</v>
      </c>
      <c r="D30" s="12" t="n">
        <v>37722</v>
      </c>
      <c r="E30" s="11" t="s">
        <v>491</v>
      </c>
      <c r="F30" s="11" t="s">
        <v>165</v>
      </c>
      <c r="G30" s="11" t="s">
        <v>1264</v>
      </c>
      <c r="H30" s="11" t="n">
        <v>9593978</v>
      </c>
      <c r="I30" s="11" t="n">
        <v>960970</v>
      </c>
      <c r="J30" s="11" t="n">
        <v>7203</v>
      </c>
      <c r="K30" s="11" t="s">
        <v>22</v>
      </c>
      <c r="L30" s="11" t="n">
        <v>91985243454</v>
      </c>
      <c r="M30" s="11" t="s">
        <v>1210</v>
      </c>
      <c r="N30" s="24" t="n">
        <v>45822</v>
      </c>
      <c r="O30" s="25" t="n">
        <f aca="false">INT((N30-D30)/365.25)</f>
        <v>22</v>
      </c>
      <c r="P30" s="12" t="s">
        <v>22</v>
      </c>
      <c r="Q30" s="11"/>
    </row>
    <row r="31" customFormat="false" ht="15" hidden="false" customHeight="false" outlineLevel="0" collapsed="false">
      <c r="A31" s="51" t="n">
        <v>27</v>
      </c>
      <c r="B31" s="10" t="n">
        <v>839852</v>
      </c>
      <c r="C31" s="11" t="s">
        <v>1265</v>
      </c>
      <c r="D31" s="12" t="n">
        <v>36199</v>
      </c>
      <c r="E31" s="11" t="s">
        <v>491</v>
      </c>
      <c r="F31" s="11" t="s">
        <v>165</v>
      </c>
      <c r="G31" s="11" t="s">
        <v>1266</v>
      </c>
      <c r="H31" s="11" t="n">
        <v>8965984</v>
      </c>
      <c r="I31" s="11" t="n">
        <v>719218</v>
      </c>
      <c r="J31" s="11" t="n">
        <v>4209</v>
      </c>
      <c r="K31" s="11" t="s">
        <v>22</v>
      </c>
      <c r="L31" s="11" t="n">
        <v>34984205268</v>
      </c>
      <c r="M31" s="11" t="s">
        <v>1210</v>
      </c>
      <c r="N31" s="24" t="n">
        <v>45822</v>
      </c>
      <c r="O31" s="25" t="n">
        <f aca="false">INT((N31-D31)/365.25)</f>
        <v>26</v>
      </c>
      <c r="P31" s="12" t="s">
        <v>22</v>
      </c>
      <c r="Q31" s="11" t="s">
        <v>1238</v>
      </c>
    </row>
    <row r="32" customFormat="false" ht="15" hidden="false" customHeight="false" outlineLevel="0" collapsed="false">
      <c r="A32" s="51" t="n">
        <v>28</v>
      </c>
      <c r="B32" s="10" t="n">
        <v>869380</v>
      </c>
      <c r="C32" s="11" t="s">
        <v>1267</v>
      </c>
      <c r="D32" s="12" t="n">
        <v>37524</v>
      </c>
      <c r="E32" s="11" t="s">
        <v>491</v>
      </c>
      <c r="F32" s="11" t="s">
        <v>165</v>
      </c>
      <c r="G32" s="11" t="s">
        <v>1268</v>
      </c>
      <c r="H32" s="11" t="n">
        <v>9612791</v>
      </c>
      <c r="I32" s="11" t="n">
        <v>809702</v>
      </c>
      <c r="J32" s="11" t="n">
        <v>1269</v>
      </c>
      <c r="K32" s="11" t="s">
        <v>22</v>
      </c>
      <c r="L32" s="11" t="n">
        <v>91987319369</v>
      </c>
      <c r="M32" s="11" t="s">
        <v>1210</v>
      </c>
      <c r="N32" s="24" t="n">
        <v>45822</v>
      </c>
      <c r="O32" s="25" t="n">
        <f aca="false">INT((N32-D32)/365.25)</f>
        <v>22</v>
      </c>
      <c r="P32" s="12" t="s">
        <v>22</v>
      </c>
      <c r="Q32" s="11"/>
    </row>
    <row r="33" customFormat="false" ht="15" hidden="false" customHeight="false" outlineLevel="0" collapsed="false">
      <c r="A33" s="51" t="n">
        <v>29</v>
      </c>
      <c r="B33" s="10" t="n">
        <v>860578</v>
      </c>
      <c r="C33" s="11" t="s">
        <v>1269</v>
      </c>
      <c r="D33" s="12" t="n">
        <v>31632</v>
      </c>
      <c r="E33" s="11" t="s">
        <v>491</v>
      </c>
      <c r="F33" s="11" t="s">
        <v>165</v>
      </c>
      <c r="G33" s="11" t="s">
        <v>1270</v>
      </c>
      <c r="H33" s="11" t="n">
        <v>5596248</v>
      </c>
      <c r="I33" s="11" t="n">
        <v>18282</v>
      </c>
      <c r="J33" s="11" t="n">
        <v>52</v>
      </c>
      <c r="K33" s="11" t="s">
        <v>22</v>
      </c>
      <c r="L33" s="11" t="n">
        <v>34999547663</v>
      </c>
      <c r="M33" s="11" t="s">
        <v>1210</v>
      </c>
      <c r="N33" s="24" t="n">
        <v>45822</v>
      </c>
      <c r="O33" s="25" t="n">
        <f aca="false">INT((N33-D33)/365.25)</f>
        <v>38</v>
      </c>
      <c r="P33" s="12" t="s">
        <v>22</v>
      </c>
    </row>
    <row r="34" customFormat="false" ht="15" hidden="false" customHeight="false" outlineLevel="0" collapsed="false">
      <c r="A34" s="51" t="n">
        <v>30</v>
      </c>
      <c r="B34" s="10" t="n">
        <v>660890</v>
      </c>
      <c r="C34" s="11" t="s">
        <v>1271</v>
      </c>
      <c r="D34" s="12" t="n">
        <v>32636</v>
      </c>
      <c r="E34" s="11" t="s">
        <v>491</v>
      </c>
      <c r="F34" s="11" t="s">
        <v>165</v>
      </c>
      <c r="G34" s="11" t="s">
        <v>1272</v>
      </c>
      <c r="H34" s="11" t="n">
        <v>7110278</v>
      </c>
      <c r="I34" s="11" t="n">
        <v>295701</v>
      </c>
      <c r="J34" s="11" t="n">
        <v>8209</v>
      </c>
      <c r="K34" s="11" t="s">
        <v>22</v>
      </c>
      <c r="L34" s="11"/>
      <c r="M34" s="11" t="s">
        <v>1210</v>
      </c>
      <c r="N34" s="24" t="n">
        <v>45822</v>
      </c>
      <c r="O34" s="25" t="n">
        <f aca="false">INT((N34-D34)/365.25)</f>
        <v>36</v>
      </c>
      <c r="P34" s="12" t="s">
        <v>22</v>
      </c>
      <c r="Q34" s="11"/>
    </row>
    <row r="35" customFormat="false" ht="15" hidden="false" customHeight="false" outlineLevel="0" collapsed="false">
      <c r="A35" s="51" t="n">
        <v>31</v>
      </c>
      <c r="B35" s="10" t="n">
        <v>861249</v>
      </c>
      <c r="C35" s="11" t="s">
        <v>1273</v>
      </c>
      <c r="D35" s="12" t="n">
        <v>33070</v>
      </c>
      <c r="E35" s="11" t="s">
        <v>491</v>
      </c>
      <c r="F35" s="11" t="s">
        <v>165</v>
      </c>
      <c r="G35" s="11" t="s">
        <v>1274</v>
      </c>
      <c r="H35" s="11" t="n">
        <v>6550273</v>
      </c>
      <c r="I35" s="11" t="n">
        <v>104314</v>
      </c>
      <c r="J35" s="11" t="n">
        <v>3203</v>
      </c>
      <c r="K35" s="11" t="s">
        <v>22</v>
      </c>
      <c r="L35" s="11"/>
      <c r="M35" s="11" t="s">
        <v>1210</v>
      </c>
      <c r="N35" s="24" t="n">
        <v>45822</v>
      </c>
      <c r="O35" s="25" t="n">
        <f aca="false">INT((N35-D35)/365.25)</f>
        <v>34</v>
      </c>
      <c r="P35" s="12" t="s">
        <v>22</v>
      </c>
    </row>
    <row r="36" customFormat="false" ht="15" hidden="false" customHeight="false" outlineLevel="0" collapsed="false">
      <c r="A36" s="51" t="n">
        <v>32</v>
      </c>
      <c r="B36" s="10" t="n">
        <v>832264</v>
      </c>
      <c r="C36" s="11" t="s">
        <v>1275</v>
      </c>
      <c r="D36" s="12" t="n">
        <v>35881</v>
      </c>
      <c r="E36" s="11" t="s">
        <v>927</v>
      </c>
      <c r="F36" s="11" t="s">
        <v>165</v>
      </c>
      <c r="G36" s="11" t="s">
        <v>1276</v>
      </c>
      <c r="H36" s="11" t="n">
        <v>9334674</v>
      </c>
      <c r="I36" s="11" t="n">
        <v>7113472</v>
      </c>
      <c r="J36" s="11" t="n">
        <v>4276</v>
      </c>
      <c r="K36" s="11" t="s">
        <v>22</v>
      </c>
      <c r="L36" s="11"/>
      <c r="M36" s="11" t="s">
        <v>1210</v>
      </c>
      <c r="N36" s="24" t="n">
        <v>45822</v>
      </c>
      <c r="O36" s="25" t="n">
        <f aca="false">INT((N36-D36)/365.25)</f>
        <v>27</v>
      </c>
      <c r="P36" s="12" t="s">
        <v>22</v>
      </c>
      <c r="Q36" s="11"/>
    </row>
    <row r="37" customFormat="false" ht="15" hidden="false" customHeight="false" outlineLevel="0" collapsed="false">
      <c r="A37" s="51" t="n">
        <v>33</v>
      </c>
      <c r="B37" s="10" t="n">
        <v>830719</v>
      </c>
      <c r="C37" s="11" t="s">
        <v>1277</v>
      </c>
      <c r="D37" s="12" t="n">
        <v>29710</v>
      </c>
      <c r="E37" s="11" t="s">
        <v>1251</v>
      </c>
      <c r="F37" s="11" t="s">
        <v>165</v>
      </c>
      <c r="G37" s="11" t="s">
        <v>1278</v>
      </c>
      <c r="H37" s="11" t="n">
        <v>4598730</v>
      </c>
      <c r="I37" s="11" t="n">
        <v>102949</v>
      </c>
      <c r="J37" s="11" t="n">
        <v>9217</v>
      </c>
      <c r="K37" s="11" t="s">
        <v>22</v>
      </c>
      <c r="L37" s="11"/>
      <c r="M37" s="11" t="s">
        <v>1210</v>
      </c>
      <c r="N37" s="24" t="n">
        <v>45822</v>
      </c>
      <c r="O37" s="25" t="n">
        <f aca="false">INT((N37-D37)/365.25)</f>
        <v>44</v>
      </c>
      <c r="P37" s="12" t="s">
        <v>22</v>
      </c>
      <c r="Q37" s="11"/>
    </row>
    <row r="38" customFormat="false" ht="15" hidden="false" customHeight="false" outlineLevel="0" collapsed="false">
      <c r="A38" s="51" t="n">
        <v>34</v>
      </c>
      <c r="B38" s="10" t="n">
        <v>869381</v>
      </c>
      <c r="C38" s="11" t="s">
        <v>1279</v>
      </c>
      <c r="D38" s="12" t="n">
        <v>34419</v>
      </c>
      <c r="E38" s="11" t="s">
        <v>1251</v>
      </c>
      <c r="F38" s="11" t="s">
        <v>165</v>
      </c>
      <c r="G38" s="11" t="s">
        <v>1280</v>
      </c>
      <c r="H38" s="11" t="n">
        <v>8036809</v>
      </c>
      <c r="I38" s="11" t="n">
        <v>427253</v>
      </c>
      <c r="J38" s="11" t="n">
        <v>1280</v>
      </c>
      <c r="K38" s="11" t="s">
        <v>22</v>
      </c>
      <c r="L38" s="11" t="n">
        <v>91984967867</v>
      </c>
      <c r="M38" s="11" t="s">
        <v>1210</v>
      </c>
      <c r="N38" s="24" t="n">
        <v>45822</v>
      </c>
      <c r="O38" s="25" t="n">
        <f aca="false">INT((N38-D38)/365.25)</f>
        <v>31</v>
      </c>
      <c r="P38" s="12" t="s">
        <v>22</v>
      </c>
      <c r="Q38" s="11" t="s">
        <v>1218</v>
      </c>
    </row>
    <row r="39" customFormat="false" ht="15" hidden="false" customHeight="false" outlineLevel="0" collapsed="false">
      <c r="A39" s="51" t="n">
        <v>35</v>
      </c>
      <c r="B39" s="10" t="n">
        <v>870610</v>
      </c>
      <c r="C39" s="11" t="s">
        <v>1281</v>
      </c>
      <c r="D39" s="12" t="n">
        <v>38567</v>
      </c>
      <c r="E39" s="11" t="s">
        <v>1251</v>
      </c>
      <c r="F39" s="11" t="s">
        <v>165</v>
      </c>
      <c r="G39" s="11" t="s">
        <v>1282</v>
      </c>
      <c r="H39" s="11" t="n">
        <v>9477148</v>
      </c>
      <c r="I39" s="11" t="n">
        <v>805960</v>
      </c>
      <c r="J39" s="11" t="n">
        <v>5208</v>
      </c>
      <c r="K39" s="11" t="s">
        <v>22</v>
      </c>
      <c r="L39" s="11" t="n">
        <v>91988171524</v>
      </c>
      <c r="M39" s="11" t="s">
        <v>1210</v>
      </c>
      <c r="N39" s="24" t="n">
        <v>45822</v>
      </c>
      <c r="O39" s="25" t="n">
        <f aca="false">INT((N39-D39)/365.25)</f>
        <v>19</v>
      </c>
      <c r="P39" s="12" t="s">
        <v>22</v>
      </c>
      <c r="Q39" s="11"/>
    </row>
    <row r="40" customFormat="false" ht="15" hidden="false" customHeight="false" outlineLevel="0" collapsed="false">
      <c r="A40" s="51" t="n">
        <v>36</v>
      </c>
      <c r="B40" s="10" t="n">
        <v>846829</v>
      </c>
      <c r="C40" s="11" t="s">
        <v>1283</v>
      </c>
      <c r="D40" s="12" t="n">
        <v>36691</v>
      </c>
      <c r="E40" s="11" t="s">
        <v>478</v>
      </c>
      <c r="F40" s="11" t="s">
        <v>165</v>
      </c>
      <c r="G40" s="11" t="s">
        <v>1284</v>
      </c>
      <c r="H40" s="11" t="n">
        <v>8512247</v>
      </c>
      <c r="I40" s="11" t="n">
        <v>1076719</v>
      </c>
      <c r="J40" s="11" t="n">
        <v>7240</v>
      </c>
      <c r="K40" s="11" t="s">
        <v>22</v>
      </c>
      <c r="L40" s="11"/>
      <c r="M40" s="11" t="s">
        <v>1210</v>
      </c>
      <c r="N40" s="24" t="n">
        <v>45822</v>
      </c>
      <c r="O40" s="25" t="n">
        <f aca="false">INT((N40-D40)/365.25)</f>
        <v>24</v>
      </c>
      <c r="P40" s="12" t="s">
        <v>22</v>
      </c>
      <c r="Q40" s="11"/>
    </row>
    <row r="41" customFormat="false" ht="15" hidden="false" customHeight="false" outlineLevel="0" collapsed="false">
      <c r="A41" s="51" t="n">
        <v>37</v>
      </c>
      <c r="B41" s="10" t="n">
        <v>850965</v>
      </c>
      <c r="C41" s="11" t="s">
        <v>1285</v>
      </c>
      <c r="D41" s="12" t="n">
        <v>24950</v>
      </c>
      <c r="E41" s="11" t="s">
        <v>478</v>
      </c>
      <c r="F41" s="11" t="s">
        <v>165</v>
      </c>
      <c r="G41" s="11" t="s">
        <v>1286</v>
      </c>
      <c r="H41" s="11" t="n">
        <v>9416718</v>
      </c>
      <c r="I41" s="11" t="n">
        <v>3974676</v>
      </c>
      <c r="J41" s="11" t="n">
        <v>3253</v>
      </c>
      <c r="K41" s="11" t="s">
        <v>22</v>
      </c>
      <c r="L41" s="11" t="n">
        <v>94984341920</v>
      </c>
      <c r="M41" s="11" t="s">
        <v>1210</v>
      </c>
      <c r="N41" s="24" t="n">
        <v>45822</v>
      </c>
      <c r="O41" s="25" t="n">
        <f aca="false">INT((N41-D41)/365.25)</f>
        <v>57</v>
      </c>
      <c r="P41" s="12" t="s">
        <v>22</v>
      </c>
      <c r="Q41" s="11"/>
    </row>
    <row r="42" customFormat="false" ht="15" hidden="false" customHeight="false" outlineLevel="0" collapsed="false">
      <c r="A42" s="51" t="n">
        <v>38</v>
      </c>
      <c r="B42" s="10" t="n">
        <v>870192</v>
      </c>
      <c r="C42" s="11" t="s">
        <v>1287</v>
      </c>
      <c r="D42" s="12" t="n">
        <v>32874</v>
      </c>
      <c r="E42" s="11" t="s">
        <v>927</v>
      </c>
      <c r="F42" s="11" t="s">
        <v>165</v>
      </c>
      <c r="G42" s="11" t="s">
        <v>1288</v>
      </c>
      <c r="H42" s="11" t="n">
        <v>5528404</v>
      </c>
      <c r="I42" s="11" t="n">
        <v>91567</v>
      </c>
      <c r="J42" s="11" t="n">
        <v>6290</v>
      </c>
      <c r="K42" s="11" t="s">
        <v>22</v>
      </c>
      <c r="L42" s="56" t="s">
        <v>1289</v>
      </c>
      <c r="M42" s="11" t="s">
        <v>1210</v>
      </c>
      <c r="N42" s="24" t="n">
        <v>45822</v>
      </c>
      <c r="O42" s="25" t="n">
        <f aca="false">INT((N42-D42)/365.25)</f>
        <v>35</v>
      </c>
      <c r="P42" s="12" t="s">
        <v>22</v>
      </c>
      <c r="Q42" s="11" t="s">
        <v>1218</v>
      </c>
    </row>
    <row r="43" customFormat="false" ht="15" hidden="false" customHeight="false" outlineLevel="0" collapsed="false">
      <c r="A43" s="51" t="n">
        <v>39</v>
      </c>
      <c r="B43" s="10" t="n">
        <v>869382</v>
      </c>
      <c r="C43" s="11" t="s">
        <v>1290</v>
      </c>
      <c r="D43" s="12" t="n">
        <v>39147</v>
      </c>
      <c r="E43" s="11" t="s">
        <v>491</v>
      </c>
      <c r="F43" s="11" t="s">
        <v>165</v>
      </c>
      <c r="G43" s="11" t="s">
        <v>1291</v>
      </c>
      <c r="H43" s="11" t="n">
        <v>10629574</v>
      </c>
      <c r="I43" s="11" t="n">
        <v>844121</v>
      </c>
      <c r="J43" s="11" t="n">
        <v>3208</v>
      </c>
      <c r="K43" s="11" t="s">
        <v>22</v>
      </c>
      <c r="L43" s="11"/>
      <c r="M43" s="11" t="s">
        <v>1210</v>
      </c>
      <c r="N43" s="24" t="n">
        <v>45822</v>
      </c>
      <c r="O43" s="25" t="n">
        <f aca="false">INT((N43-D43)/365.25)</f>
        <v>18</v>
      </c>
      <c r="P43" s="12" t="s">
        <v>22</v>
      </c>
      <c r="Q43" s="11"/>
    </row>
  </sheetData>
  <autoFilter ref="K1:K43"/>
  <mergeCells count="1">
    <mergeCell ref="A1:P2"/>
  </mergeCells>
  <conditionalFormatting sqref="O5:O43">
    <cfRule type="colorScale" priority="2">
      <colorScale>
        <cfvo type="num" val="17"/>
        <cfvo type="num" val="18"/>
        <color rgb="FFFF0000"/>
        <color rgb="FF92D050"/>
      </colorScale>
    </cfRule>
  </conditionalFormatting>
  <hyperlinks>
    <hyperlink ref="L6" r:id="rId1" display="andrebezerradossantos2021@gmail.com"/>
    <hyperlink ref="L9" r:id="rId2" display="filhosmendes02@gmail.com"/>
    <hyperlink ref="L18" r:id="rId3" display="edivanleao366@gmail.com"/>
    <hyperlink ref="L42" r:id="rId4" display="vagnermiguelcanosa205@gmail.com"/>
  </hyperlink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5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4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M17" activeCellId="0" sqref="M17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6.86"/>
    <col collapsed="false" customWidth="true" hidden="false" outlineLevel="0" max="3" min="3" style="0" width="30.71"/>
    <col collapsed="false" customWidth="true" hidden="false" outlineLevel="0" max="4" min="4" style="0" width="9"/>
    <col collapsed="false" customWidth="true" hidden="false" outlineLevel="0" max="5" min="5" style="0" width="15.15"/>
    <col collapsed="false" customWidth="true" hidden="false" outlineLevel="0" max="6" min="6" style="0" width="6.43"/>
    <col collapsed="false" customWidth="true" hidden="false" outlineLevel="0" max="7" min="7" style="0" width="13"/>
    <col collapsed="false" customWidth="true" hidden="false" outlineLevel="0" max="8" min="8" style="0" width="12.86"/>
    <col collapsed="false" customWidth="true" hidden="false" outlineLevel="0" max="9" min="9" style="0" width="8.43"/>
    <col collapsed="false" customWidth="true" hidden="false" outlineLevel="0" max="10" min="10" style="0" width="5.14"/>
    <col collapsed="false" customWidth="true" hidden="true" outlineLevel="0" max="11" min="11" style="0" width="6.14"/>
    <col collapsed="false" customWidth="true" hidden="true" outlineLevel="0" max="12" min="12" style="0" width="30"/>
    <col collapsed="false" customWidth="true" hidden="false" outlineLevel="0" max="13" min="13" style="0" width="17.29"/>
    <col collapsed="false" customWidth="true" hidden="false" outlineLevel="0" max="14" min="14" style="0" width="9"/>
    <col collapsed="false" customWidth="true" hidden="false" outlineLevel="0" max="15" min="15" style="0" width="5.71"/>
    <col collapsed="false" customWidth="true" hidden="false" outlineLevel="0" max="16" min="16" style="0" width="6.29"/>
  </cols>
  <sheetData>
    <row r="1" customFormat="false" ht="15" hidden="false" customHeight="false" outlineLevel="0" collapsed="false">
      <c r="A1" s="54" t="s">
        <v>1100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</row>
    <row r="2" customFormat="false" ht="15" hidden="false" customHeight="false" outlineLevel="0" collapsed="false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</row>
    <row r="3" customFormat="false" ht="15" hidden="false" customHeight="false" outlineLevel="0" collapsed="false">
      <c r="A3" s="43"/>
      <c r="B3" s="44" t="s">
        <v>1</v>
      </c>
      <c r="C3" s="44" t="s">
        <v>2</v>
      </c>
      <c r="D3" s="44" t="s">
        <v>3</v>
      </c>
      <c r="E3" s="44" t="s">
        <v>4</v>
      </c>
      <c r="F3" s="44" t="s">
        <v>5</v>
      </c>
      <c r="G3" s="45" t="s">
        <v>6</v>
      </c>
      <c r="H3" s="44" t="s">
        <v>7</v>
      </c>
      <c r="I3" s="44" t="s">
        <v>8</v>
      </c>
      <c r="J3" s="44" t="s">
        <v>9</v>
      </c>
      <c r="K3" s="44" t="s">
        <v>10</v>
      </c>
      <c r="L3" s="44" t="s">
        <v>1101</v>
      </c>
      <c r="M3" s="44" t="s">
        <v>11</v>
      </c>
      <c r="N3" s="44" t="s">
        <v>12</v>
      </c>
      <c r="O3" s="44" t="s">
        <v>13</v>
      </c>
      <c r="P3" s="44" t="s">
        <v>16</v>
      </c>
    </row>
    <row r="4" customFormat="false" ht="15" hidden="false" customHeight="false" outlineLevel="0" collapsed="false">
      <c r="A4" s="46"/>
      <c r="B4" s="47"/>
      <c r="C4" s="44" t="s">
        <v>1292</v>
      </c>
      <c r="D4" s="48"/>
      <c r="E4" s="47"/>
      <c r="F4" s="47"/>
      <c r="G4" s="47"/>
      <c r="H4" s="47"/>
      <c r="I4" s="47"/>
      <c r="J4" s="47"/>
      <c r="K4" s="47"/>
      <c r="L4" s="47"/>
      <c r="M4" s="49"/>
      <c r="N4" s="50"/>
      <c r="O4" s="44"/>
      <c r="P4" s="44"/>
    </row>
    <row r="5" customFormat="false" ht="15" hidden="false" customHeight="false" outlineLevel="0" collapsed="false">
      <c r="A5" s="51" t="n">
        <v>1</v>
      </c>
      <c r="B5" s="10" t="n">
        <v>872159</v>
      </c>
      <c r="C5" s="11" t="s">
        <v>1293</v>
      </c>
      <c r="D5" s="12" t="n">
        <v>31302</v>
      </c>
      <c r="E5" s="11" t="s">
        <v>1184</v>
      </c>
      <c r="F5" s="11" t="s">
        <v>160</v>
      </c>
      <c r="G5" s="11" t="s">
        <v>1294</v>
      </c>
      <c r="H5" s="11" t="s">
        <v>1295</v>
      </c>
      <c r="I5" s="11" t="n">
        <v>82082</v>
      </c>
      <c r="J5" s="11" t="n">
        <v>24</v>
      </c>
      <c r="K5" s="11" t="s">
        <v>22</v>
      </c>
      <c r="L5" s="11" t="n">
        <v>82999704335</v>
      </c>
      <c r="M5" s="11" t="s">
        <v>1107</v>
      </c>
      <c r="N5" s="24" t="n">
        <v>45824</v>
      </c>
      <c r="O5" s="25" t="n">
        <f aca="false">INT((N5-D5)/365.25)</f>
        <v>39</v>
      </c>
      <c r="P5" s="12" t="s">
        <v>22</v>
      </c>
    </row>
    <row r="6" customFormat="false" ht="15" hidden="false" customHeight="false" outlineLevel="0" collapsed="false">
      <c r="A6" s="51" t="n">
        <v>2</v>
      </c>
      <c r="B6" s="10" t="n">
        <v>834496</v>
      </c>
      <c r="C6" s="11" t="s">
        <v>1296</v>
      </c>
      <c r="D6" s="12" t="n">
        <v>35855</v>
      </c>
      <c r="E6" s="11" t="s">
        <v>1184</v>
      </c>
      <c r="F6" s="11" t="s">
        <v>160</v>
      </c>
      <c r="G6" s="11" t="s">
        <v>1297</v>
      </c>
      <c r="H6" s="11" t="s">
        <v>1298</v>
      </c>
      <c r="I6" s="11" t="n">
        <v>1254321</v>
      </c>
      <c r="J6" s="11" t="n">
        <v>3490</v>
      </c>
      <c r="K6" s="11" t="s">
        <v>22</v>
      </c>
      <c r="L6" s="11" t="n">
        <v>82996007967</v>
      </c>
      <c r="M6" s="11" t="s">
        <v>1107</v>
      </c>
      <c r="N6" s="24" t="n">
        <v>45824</v>
      </c>
      <c r="O6" s="25" t="n">
        <f aca="false">INT((N6-D6)/365.25)</f>
        <v>27</v>
      </c>
      <c r="P6" s="12" t="s">
        <v>22</v>
      </c>
    </row>
    <row r="7" customFormat="false" ht="15" hidden="false" customHeight="false" outlineLevel="0" collapsed="false">
      <c r="A7" s="51" t="n">
        <v>3</v>
      </c>
      <c r="B7" s="10" t="n">
        <v>869860</v>
      </c>
      <c r="C7" s="11" t="s">
        <v>1299</v>
      </c>
      <c r="D7" s="12" t="n">
        <v>37315</v>
      </c>
      <c r="E7" s="11" t="s">
        <v>1184</v>
      </c>
      <c r="F7" s="11" t="s">
        <v>160</v>
      </c>
      <c r="G7" s="11" t="s">
        <v>1300</v>
      </c>
      <c r="H7" s="11" t="s">
        <v>1301</v>
      </c>
      <c r="I7" s="11" t="n">
        <v>1291350</v>
      </c>
      <c r="J7" s="11" t="n">
        <v>1443</v>
      </c>
      <c r="K7" s="11" t="s">
        <v>22</v>
      </c>
      <c r="L7" s="11" t="n">
        <v>82999714665</v>
      </c>
      <c r="M7" s="11" t="s">
        <v>1107</v>
      </c>
      <c r="N7" s="24" t="n">
        <v>45824</v>
      </c>
      <c r="O7" s="25" t="n">
        <f aca="false">INT((N7-D7)/365.25)</f>
        <v>23</v>
      </c>
      <c r="P7" s="12" t="s">
        <v>22</v>
      </c>
    </row>
    <row r="8" customFormat="false" ht="15" hidden="false" customHeight="false" outlineLevel="0" collapsed="false">
      <c r="A8" s="51" t="n">
        <v>4</v>
      </c>
      <c r="B8" s="10" t="n">
        <v>869392</v>
      </c>
      <c r="C8" s="11" t="s">
        <v>1302</v>
      </c>
      <c r="D8" s="12" t="n">
        <v>38796</v>
      </c>
      <c r="E8" s="11" t="s">
        <v>1184</v>
      </c>
      <c r="F8" s="11" t="s">
        <v>160</v>
      </c>
      <c r="G8" s="11" t="s">
        <v>1303</v>
      </c>
      <c r="H8" s="11" t="n">
        <v>45245270</v>
      </c>
      <c r="I8" s="11" t="n">
        <v>1431536</v>
      </c>
      <c r="J8" s="11" t="n">
        <v>9462</v>
      </c>
      <c r="K8" s="11" t="s">
        <v>22</v>
      </c>
      <c r="L8" s="11" t="n">
        <v>82999418208</v>
      </c>
      <c r="M8" s="11" t="s">
        <v>1107</v>
      </c>
      <c r="N8" s="24" t="n">
        <v>45824</v>
      </c>
      <c r="O8" s="25" t="n">
        <f aca="false">INT((N8-D8)/365.25)</f>
        <v>19</v>
      </c>
      <c r="P8" s="12" t="s">
        <v>22</v>
      </c>
    </row>
    <row r="9" customFormat="false" ht="15" hidden="false" customHeight="false" outlineLevel="0" collapsed="false">
      <c r="A9" s="51" t="n">
        <v>5</v>
      </c>
      <c r="B9" s="10" t="n">
        <v>872109</v>
      </c>
      <c r="C9" s="11" t="s">
        <v>1304</v>
      </c>
      <c r="D9" s="12" t="n">
        <v>35945</v>
      </c>
      <c r="E9" s="11" t="s">
        <v>1104</v>
      </c>
      <c r="F9" s="11" t="s">
        <v>160</v>
      </c>
      <c r="G9" s="11" t="s">
        <v>1305</v>
      </c>
      <c r="H9" s="11" t="s">
        <v>1306</v>
      </c>
      <c r="I9" s="11" t="n">
        <v>57797</v>
      </c>
      <c r="J9" s="11" t="n">
        <v>3401</v>
      </c>
      <c r="K9" s="11" t="s">
        <v>22</v>
      </c>
      <c r="L9" s="11" t="n">
        <v>82999806063</v>
      </c>
      <c r="M9" s="11" t="s">
        <v>1107</v>
      </c>
      <c r="N9" s="24" t="n">
        <v>45824</v>
      </c>
      <c r="O9" s="25" t="n">
        <f aca="false">INT((N9-D9)/365.25)</f>
        <v>27</v>
      </c>
      <c r="P9" s="12" t="s">
        <v>22</v>
      </c>
    </row>
    <row r="10" customFormat="false" ht="15" hidden="false" customHeight="false" outlineLevel="0" collapsed="false">
      <c r="A10" s="51" t="n">
        <v>6</v>
      </c>
      <c r="B10" s="10" t="n">
        <v>834499</v>
      </c>
      <c r="C10" s="11" t="s">
        <v>1307</v>
      </c>
      <c r="D10" s="12" t="n">
        <v>36736</v>
      </c>
      <c r="E10" s="11" t="s">
        <v>1184</v>
      </c>
      <c r="F10" s="11" t="s">
        <v>160</v>
      </c>
      <c r="G10" s="11" t="s">
        <v>1308</v>
      </c>
      <c r="H10" s="11" t="s">
        <v>1309</v>
      </c>
      <c r="I10" s="11" t="n">
        <v>943683</v>
      </c>
      <c r="J10" s="11" t="n">
        <v>2460</v>
      </c>
      <c r="K10" s="11" t="s">
        <v>22</v>
      </c>
      <c r="L10" s="11" t="n">
        <v>82996177212</v>
      </c>
      <c r="M10" s="11" t="s">
        <v>1107</v>
      </c>
      <c r="N10" s="24" t="n">
        <v>45824</v>
      </c>
      <c r="O10" s="25" t="n">
        <f aca="false">INT((N10-D10)/365.25)</f>
        <v>24</v>
      </c>
      <c r="P10" s="12" t="s">
        <v>22</v>
      </c>
    </row>
    <row r="11" customFormat="false" ht="15" hidden="false" customHeight="false" outlineLevel="0" collapsed="false">
      <c r="A11" s="51" t="n">
        <v>7</v>
      </c>
      <c r="B11" s="10" t="n">
        <v>869397</v>
      </c>
      <c r="C11" s="11" t="s">
        <v>1310</v>
      </c>
      <c r="D11" s="12" t="n">
        <v>38537</v>
      </c>
      <c r="E11" s="11" t="s">
        <v>1104</v>
      </c>
      <c r="F11" s="11" t="s">
        <v>160</v>
      </c>
      <c r="G11" s="11" t="s">
        <v>1311</v>
      </c>
      <c r="H11" s="11" t="s">
        <v>1312</v>
      </c>
      <c r="I11" s="11" t="n">
        <v>1141543</v>
      </c>
      <c r="J11" s="11" t="n">
        <v>9400</v>
      </c>
      <c r="K11" s="11" t="s">
        <v>22</v>
      </c>
      <c r="L11" s="11" t="n">
        <v>82993314501</v>
      </c>
      <c r="M11" s="11" t="s">
        <v>1107</v>
      </c>
      <c r="N11" s="24" t="n">
        <v>45824</v>
      </c>
      <c r="O11" s="25" t="n">
        <f aca="false">INT((N11-D11)/365.25)</f>
        <v>19</v>
      </c>
      <c r="P11" s="12" t="s">
        <v>22</v>
      </c>
    </row>
    <row r="12" customFormat="false" ht="15" hidden="false" customHeight="false" outlineLevel="0" collapsed="false">
      <c r="A12" s="51" t="n">
        <v>8</v>
      </c>
      <c r="B12" s="52" t="n">
        <v>759455</v>
      </c>
      <c r="C12" s="53" t="s">
        <v>1313</v>
      </c>
      <c r="D12" s="12" t="n">
        <v>36070</v>
      </c>
      <c r="E12" s="11" t="s">
        <v>1104</v>
      </c>
      <c r="F12" s="11" t="s">
        <v>160</v>
      </c>
      <c r="G12" s="11" t="s">
        <v>1314</v>
      </c>
      <c r="H12" s="11" t="s">
        <v>1315</v>
      </c>
      <c r="I12" s="11" t="n">
        <v>1304041</v>
      </c>
      <c r="J12" s="11" t="n">
        <v>423</v>
      </c>
      <c r="K12" s="11" t="s">
        <v>22</v>
      </c>
      <c r="L12" s="11" t="n">
        <v>34992486794</v>
      </c>
      <c r="M12" s="11" t="s">
        <v>1107</v>
      </c>
      <c r="N12" s="24" t="n">
        <v>45824</v>
      </c>
      <c r="O12" s="25" t="n">
        <f aca="false">INT((N12-D12)/365.25)</f>
        <v>26</v>
      </c>
      <c r="P12" s="12" t="s">
        <v>22</v>
      </c>
    </row>
    <row r="13" customFormat="false" ht="15" hidden="false" customHeight="false" outlineLevel="0" collapsed="false">
      <c r="A13" s="51" t="n">
        <v>9</v>
      </c>
      <c r="B13" s="10" t="n">
        <v>832853</v>
      </c>
      <c r="C13" s="11" t="s">
        <v>1316</v>
      </c>
      <c r="D13" s="12" t="n">
        <v>36746</v>
      </c>
      <c r="E13" s="11" t="s">
        <v>1184</v>
      </c>
      <c r="F13" s="11" t="s">
        <v>160</v>
      </c>
      <c r="G13" s="11" t="s">
        <v>1317</v>
      </c>
      <c r="H13" s="11" t="s">
        <v>1318</v>
      </c>
      <c r="I13" s="11" t="n">
        <v>9528522</v>
      </c>
      <c r="J13" s="11" t="n">
        <v>50</v>
      </c>
      <c r="K13" s="11" t="s">
        <v>22</v>
      </c>
      <c r="L13" s="11" t="n">
        <v>82996219386</v>
      </c>
      <c r="M13" s="11" t="s">
        <v>1107</v>
      </c>
      <c r="N13" s="24" t="n">
        <v>45824</v>
      </c>
      <c r="O13" s="25" t="n">
        <f aca="false">INT((N13-D13)/365.25)</f>
        <v>24</v>
      </c>
      <c r="P13" s="12" t="s">
        <v>22</v>
      </c>
    </row>
    <row r="14" customFormat="false" ht="15" hidden="false" customHeight="false" outlineLevel="0" collapsed="false">
      <c r="A14" s="51" t="n">
        <v>10</v>
      </c>
      <c r="B14" s="10" t="n">
        <v>869402</v>
      </c>
      <c r="C14" s="11" t="s">
        <v>1319</v>
      </c>
      <c r="D14" s="12" t="n">
        <v>38908</v>
      </c>
      <c r="E14" s="11" t="s">
        <v>1114</v>
      </c>
      <c r="F14" s="11" t="s">
        <v>160</v>
      </c>
      <c r="G14" s="11" t="s">
        <v>1320</v>
      </c>
      <c r="H14" s="11" t="n">
        <v>45258836</v>
      </c>
      <c r="I14" s="11" t="n">
        <v>1798241</v>
      </c>
      <c r="J14" s="11" t="n">
        <v>4478</v>
      </c>
      <c r="K14" s="11" t="s">
        <v>22</v>
      </c>
      <c r="L14" s="11" t="n">
        <v>82999312229</v>
      </c>
      <c r="M14" s="11" t="s">
        <v>1107</v>
      </c>
      <c r="N14" s="24" t="n">
        <v>45824</v>
      </c>
      <c r="O14" s="25" t="n">
        <f aca="false">INT((N14-D14)/365.25)</f>
        <v>18</v>
      </c>
      <c r="P14" s="12" t="s">
        <v>22</v>
      </c>
    </row>
    <row r="15" customFormat="false" ht="15" hidden="false" customHeight="false" outlineLevel="0" collapsed="false">
      <c r="A15" s="51" t="n">
        <v>11</v>
      </c>
      <c r="B15" s="10" t="n">
        <v>869420</v>
      </c>
      <c r="C15" s="11" t="s">
        <v>1321</v>
      </c>
      <c r="D15" s="12" t="n">
        <v>36636</v>
      </c>
      <c r="E15" s="11" t="s">
        <v>1114</v>
      </c>
      <c r="F15" s="11" t="s">
        <v>160</v>
      </c>
      <c r="G15" s="11" t="s">
        <v>1322</v>
      </c>
      <c r="H15" s="57" t="s">
        <v>1323</v>
      </c>
      <c r="I15" s="11" t="n">
        <v>1310929</v>
      </c>
      <c r="J15" s="11" t="n">
        <v>5482</v>
      </c>
      <c r="K15" s="11" t="s">
        <v>22</v>
      </c>
      <c r="L15" s="11" t="n">
        <v>82996841710</v>
      </c>
      <c r="M15" s="11" t="s">
        <v>1107</v>
      </c>
      <c r="N15" s="24" t="n">
        <v>45824</v>
      </c>
      <c r="O15" s="25" t="n">
        <f aca="false">INT((N15-D15)/365.25)</f>
        <v>25</v>
      </c>
      <c r="P15" s="12" t="s">
        <v>22</v>
      </c>
    </row>
    <row r="16" customFormat="false" ht="15" hidden="false" customHeight="false" outlineLevel="0" collapsed="false">
      <c r="A16" s="51" t="n">
        <v>12</v>
      </c>
      <c r="B16" s="10" t="n">
        <v>872152</v>
      </c>
      <c r="C16" s="11" t="s">
        <v>1324</v>
      </c>
      <c r="D16" s="12" t="n">
        <v>37037</v>
      </c>
      <c r="E16" s="11" t="s">
        <v>1184</v>
      </c>
      <c r="F16" s="11" t="s">
        <v>160</v>
      </c>
      <c r="G16" s="11" t="s">
        <v>1325</v>
      </c>
      <c r="H16" s="11" t="s">
        <v>1326</v>
      </c>
      <c r="I16" s="11" t="n">
        <v>1675438</v>
      </c>
      <c r="J16" s="11" t="n">
        <v>2422</v>
      </c>
      <c r="K16" s="11" t="s">
        <v>22</v>
      </c>
      <c r="L16" s="11" t="n">
        <v>82996214371</v>
      </c>
      <c r="M16" s="11" t="s">
        <v>1107</v>
      </c>
      <c r="N16" s="24" t="n">
        <v>45824</v>
      </c>
      <c r="O16" s="25" t="n">
        <f aca="false">INT((N16-D16)/365.25)</f>
        <v>24</v>
      </c>
      <c r="P16" s="12" t="s">
        <v>22</v>
      </c>
    </row>
    <row r="17" customFormat="false" ht="15" hidden="false" customHeight="false" outlineLevel="0" collapsed="false">
      <c r="A17" s="51" t="n">
        <v>13</v>
      </c>
      <c r="B17" s="10" t="n">
        <v>870568</v>
      </c>
      <c r="C17" s="11" t="s">
        <v>1327</v>
      </c>
      <c r="D17" s="12" t="n">
        <v>34320</v>
      </c>
      <c r="E17" s="11" t="s">
        <v>1114</v>
      </c>
      <c r="F17" s="11" t="s">
        <v>160</v>
      </c>
      <c r="G17" s="11" t="s">
        <v>1328</v>
      </c>
      <c r="H17" s="11" t="s">
        <v>1329</v>
      </c>
      <c r="I17" s="11" t="n">
        <v>4491951</v>
      </c>
      <c r="J17" s="11" t="n">
        <v>5863</v>
      </c>
      <c r="K17" s="11" t="s">
        <v>22</v>
      </c>
      <c r="L17" s="11" t="n">
        <v>82999223931</v>
      </c>
      <c r="M17" s="11" t="s">
        <v>1107</v>
      </c>
      <c r="N17" s="24" t="n">
        <v>45824</v>
      </c>
      <c r="O17" s="25" t="n">
        <f aca="false">INT((N17-D17)/365.25)</f>
        <v>31</v>
      </c>
      <c r="P17" s="12" t="s">
        <v>22</v>
      </c>
    </row>
    <row r="18" customFormat="false" ht="15" hidden="false" customHeight="false" outlineLevel="0" collapsed="false">
      <c r="A18" s="51" t="n">
        <v>14</v>
      </c>
      <c r="B18" s="10" t="n">
        <v>872107</v>
      </c>
      <c r="C18" s="11" t="s">
        <v>1330</v>
      </c>
      <c r="D18" s="12" t="n">
        <v>36061</v>
      </c>
      <c r="E18" s="11" t="s">
        <v>1104</v>
      </c>
      <c r="F18" s="11" t="s">
        <v>160</v>
      </c>
      <c r="G18" s="11" t="s">
        <v>1331</v>
      </c>
      <c r="H18" s="11" t="s">
        <v>1332</v>
      </c>
      <c r="I18" s="11" t="n">
        <v>1679577</v>
      </c>
      <c r="J18" s="11" t="n">
        <v>3442</v>
      </c>
      <c r="K18" s="11" t="s">
        <v>22</v>
      </c>
      <c r="L18" s="11" t="n">
        <v>82996674754</v>
      </c>
      <c r="M18" s="11" t="s">
        <v>1107</v>
      </c>
      <c r="N18" s="24" t="n">
        <v>45824</v>
      </c>
      <c r="O18" s="25" t="n">
        <f aca="false">INT((N18-D18)/365.25)</f>
        <v>26</v>
      </c>
      <c r="P18" s="12" t="s">
        <v>22</v>
      </c>
    </row>
    <row r="19" customFormat="false" ht="15" hidden="false" customHeight="false" outlineLevel="0" collapsed="false">
      <c r="A19" s="51" t="n">
        <v>15</v>
      </c>
      <c r="B19" s="10" t="n">
        <v>872110</v>
      </c>
      <c r="C19" s="11" t="s">
        <v>1333</v>
      </c>
      <c r="D19" s="12" t="n">
        <v>37701</v>
      </c>
      <c r="E19" s="11" t="s">
        <v>1184</v>
      </c>
      <c r="F19" s="11" t="s">
        <v>160</v>
      </c>
      <c r="G19" s="11" t="s">
        <v>1334</v>
      </c>
      <c r="H19" s="11" t="n">
        <v>45006556</v>
      </c>
      <c r="I19" s="11" t="n">
        <v>1482753</v>
      </c>
      <c r="J19" s="11" t="n">
        <v>3407</v>
      </c>
      <c r="K19" s="11" t="s">
        <v>22</v>
      </c>
      <c r="L19" s="11" t="n">
        <v>82996479434</v>
      </c>
      <c r="M19" s="11" t="s">
        <v>1107</v>
      </c>
      <c r="N19" s="24" t="n">
        <v>45824</v>
      </c>
      <c r="O19" s="25" t="n">
        <f aca="false">INT((N19-D19)/365.25)</f>
        <v>22</v>
      </c>
      <c r="P19" s="12" t="s">
        <v>22</v>
      </c>
    </row>
    <row r="20" customFormat="false" ht="15" hidden="false" customHeight="false" outlineLevel="0" collapsed="false">
      <c r="A20" s="51" t="n">
        <v>16</v>
      </c>
      <c r="B20" s="10" t="n">
        <v>869430</v>
      </c>
      <c r="C20" s="11" t="s">
        <v>1335</v>
      </c>
      <c r="D20" s="12" t="n">
        <v>35676</v>
      </c>
      <c r="E20" s="11" t="s">
        <v>1104</v>
      </c>
      <c r="F20" s="11" t="s">
        <v>160</v>
      </c>
      <c r="G20" s="11" t="s">
        <v>1336</v>
      </c>
      <c r="H20" s="11" t="s">
        <v>1337</v>
      </c>
      <c r="I20" s="11" t="n">
        <v>71180</v>
      </c>
      <c r="J20" s="11" t="n">
        <v>50</v>
      </c>
      <c r="K20" s="11" t="s">
        <v>22</v>
      </c>
      <c r="L20" s="11" t="n">
        <v>82991475977</v>
      </c>
      <c r="M20" s="11" t="s">
        <v>1107</v>
      </c>
      <c r="N20" s="24" t="n">
        <v>45824</v>
      </c>
      <c r="O20" s="25" t="n">
        <f aca="false">INT((N20-D20)/365.25)</f>
        <v>27</v>
      </c>
      <c r="P20" s="12" t="s">
        <v>22</v>
      </c>
    </row>
    <row r="21" customFormat="false" ht="16.4" hidden="false" customHeight="false" outlineLevel="0" collapsed="false">
      <c r="A21" s="51" t="n">
        <v>17</v>
      </c>
      <c r="B21" s="10" t="n">
        <v>862644</v>
      </c>
      <c r="C21" s="11" t="s">
        <v>1338</v>
      </c>
      <c r="D21" s="12" t="n">
        <v>33146</v>
      </c>
      <c r="E21" s="11" t="s">
        <v>1104</v>
      </c>
      <c r="F21" s="11" t="s">
        <v>160</v>
      </c>
      <c r="G21" s="11" t="s">
        <v>1339</v>
      </c>
      <c r="H21" s="11" t="s">
        <v>1340</v>
      </c>
      <c r="I21" s="11" t="n">
        <v>66641</v>
      </c>
      <c r="J21" s="11" t="n">
        <v>50</v>
      </c>
      <c r="K21" s="11" t="s">
        <v>22</v>
      </c>
      <c r="L21" s="55" t="s">
        <v>1341</v>
      </c>
      <c r="M21" s="11" t="s">
        <v>1107</v>
      </c>
      <c r="N21" s="24" t="n">
        <v>45824</v>
      </c>
      <c r="O21" s="25" t="n">
        <f aca="false">INT((N21-D21)/365.25)</f>
        <v>34</v>
      </c>
      <c r="P21" s="12" t="s">
        <v>22</v>
      </c>
    </row>
    <row r="22" customFormat="false" ht="15" hidden="false" customHeight="false" outlineLevel="0" collapsed="false">
      <c r="A22" s="51" t="n">
        <v>18</v>
      </c>
      <c r="B22" s="10" t="n">
        <v>834508</v>
      </c>
      <c r="C22" s="11" t="s">
        <v>1342</v>
      </c>
      <c r="D22" s="12" t="n">
        <v>36775</v>
      </c>
      <c r="E22" s="11" t="s">
        <v>1184</v>
      </c>
      <c r="F22" s="11" t="s">
        <v>160</v>
      </c>
      <c r="G22" s="11" t="s">
        <v>1343</v>
      </c>
      <c r="H22" s="11" t="s">
        <v>1344</v>
      </c>
      <c r="I22" s="11" t="n">
        <v>9522939</v>
      </c>
      <c r="J22" s="11" t="n">
        <v>50</v>
      </c>
      <c r="K22" s="11" t="s">
        <v>22</v>
      </c>
      <c r="L22" s="11" t="n">
        <v>82996238288</v>
      </c>
      <c r="M22" s="11" t="s">
        <v>1107</v>
      </c>
      <c r="N22" s="24" t="n">
        <v>45824</v>
      </c>
      <c r="O22" s="25" t="n">
        <f aca="false">INT((N22-D22)/365.25)</f>
        <v>24</v>
      </c>
      <c r="P22" s="12" t="s">
        <v>22</v>
      </c>
    </row>
    <row r="23" customFormat="false" ht="15" hidden="false" customHeight="false" outlineLevel="0" collapsed="false">
      <c r="A23" s="51" t="n">
        <v>19</v>
      </c>
      <c r="B23" s="10" t="n">
        <v>869441</v>
      </c>
      <c r="C23" s="11" t="s">
        <v>1345</v>
      </c>
      <c r="D23" s="12" t="n">
        <v>30760</v>
      </c>
      <c r="E23" s="11" t="s">
        <v>1184</v>
      </c>
      <c r="F23" s="11" t="s">
        <v>160</v>
      </c>
      <c r="G23" s="11" t="s">
        <v>1346</v>
      </c>
      <c r="H23" s="11" t="s">
        <v>1347</v>
      </c>
      <c r="I23" s="11" t="n">
        <v>154855</v>
      </c>
      <c r="J23" s="11" t="n">
        <v>2437</v>
      </c>
      <c r="K23" s="11" t="s">
        <v>22</v>
      </c>
      <c r="L23" s="11" t="n">
        <v>82996563140</v>
      </c>
      <c r="M23" s="11" t="s">
        <v>1107</v>
      </c>
      <c r="N23" s="24" t="n">
        <v>45824</v>
      </c>
      <c r="O23" s="25" t="n">
        <f aca="false">INT((N23-D23)/365.25)</f>
        <v>41</v>
      </c>
      <c r="P23" s="12" t="s">
        <v>22</v>
      </c>
    </row>
    <row r="24" customFormat="false" ht="15" hidden="false" customHeight="false" outlineLevel="0" collapsed="false">
      <c r="A24" s="51" t="n">
        <v>20</v>
      </c>
      <c r="B24" s="10" t="n">
        <v>834548</v>
      </c>
      <c r="C24" s="11" t="s">
        <v>1348</v>
      </c>
      <c r="D24" s="12" t="n">
        <v>32271</v>
      </c>
      <c r="E24" s="11" t="s">
        <v>1114</v>
      </c>
      <c r="F24" s="11" t="s">
        <v>160</v>
      </c>
      <c r="G24" s="11" t="s">
        <v>1349</v>
      </c>
      <c r="H24" s="11" t="n">
        <v>31071633</v>
      </c>
      <c r="I24" s="11" t="n">
        <v>4102505</v>
      </c>
      <c r="J24" s="11" t="n">
        <v>60</v>
      </c>
      <c r="K24" s="11" t="s">
        <v>22</v>
      </c>
      <c r="L24" s="11" t="n">
        <v>34991344246</v>
      </c>
      <c r="M24" s="11" t="s">
        <v>1107</v>
      </c>
      <c r="N24" s="24" t="n">
        <v>45824</v>
      </c>
      <c r="O24" s="25" t="n">
        <f aca="false">INT((N24-D24)/365.25)</f>
        <v>37</v>
      </c>
      <c r="P24" s="12" t="s">
        <v>22</v>
      </c>
    </row>
    <row r="25" customFormat="false" ht="15" hidden="false" customHeight="false" outlineLevel="0" collapsed="false">
      <c r="A25" s="51" t="n">
        <v>21</v>
      </c>
      <c r="B25" s="10" t="n">
        <v>869442</v>
      </c>
      <c r="C25" s="11" t="s">
        <v>1350</v>
      </c>
      <c r="D25" s="12" t="n">
        <v>38536</v>
      </c>
      <c r="E25" s="11" t="s">
        <v>1184</v>
      </c>
      <c r="F25" s="11" t="s">
        <v>160</v>
      </c>
      <c r="G25" s="11" t="s">
        <v>1351</v>
      </c>
      <c r="H25" s="11" t="s">
        <v>1352</v>
      </c>
      <c r="I25" s="11" t="n">
        <v>7165078</v>
      </c>
      <c r="J25" s="11" t="n">
        <v>3477</v>
      </c>
      <c r="K25" s="11" t="s">
        <v>22</v>
      </c>
      <c r="L25" s="11" t="n">
        <v>82996455798</v>
      </c>
      <c r="M25" s="11" t="s">
        <v>1107</v>
      </c>
      <c r="N25" s="24" t="n">
        <v>45824</v>
      </c>
      <c r="O25" s="25" t="n">
        <f aca="false">INT((N25-D25)/365.25)</f>
        <v>19</v>
      </c>
      <c r="P25" s="12" t="s">
        <v>22</v>
      </c>
    </row>
    <row r="26" customFormat="false" ht="15" hidden="false" customHeight="false" outlineLevel="0" collapsed="false">
      <c r="A26" s="51" t="n">
        <v>22</v>
      </c>
      <c r="B26" s="10" t="n">
        <v>805333</v>
      </c>
      <c r="C26" s="11" t="s">
        <v>1353</v>
      </c>
      <c r="D26" s="12" t="n">
        <v>35961</v>
      </c>
      <c r="E26" s="11" t="s">
        <v>1104</v>
      </c>
      <c r="F26" s="11" t="s">
        <v>160</v>
      </c>
      <c r="G26" s="11" t="s">
        <v>1354</v>
      </c>
      <c r="H26" s="11" t="s">
        <v>1355</v>
      </c>
      <c r="I26" s="11" t="n">
        <v>805935</v>
      </c>
      <c r="J26" s="11" t="n">
        <v>60</v>
      </c>
      <c r="K26" s="11" t="s">
        <v>22</v>
      </c>
      <c r="L26" s="11" t="n">
        <v>82996344257</v>
      </c>
      <c r="M26" s="11" t="s">
        <v>1107</v>
      </c>
      <c r="N26" s="24" t="n">
        <v>45824</v>
      </c>
      <c r="O26" s="25" t="n">
        <f aca="false">INT((N26-D26)/365.25)</f>
        <v>27</v>
      </c>
      <c r="P26" s="12" t="s">
        <v>22</v>
      </c>
    </row>
    <row r="27" customFormat="false" ht="15" hidden="false" customHeight="false" outlineLevel="0" collapsed="false">
      <c r="A27" s="51" t="n">
        <v>23</v>
      </c>
      <c r="B27" s="10" t="n">
        <v>869463</v>
      </c>
      <c r="C27" s="11" t="s">
        <v>1356</v>
      </c>
      <c r="D27" s="12" t="n">
        <v>37098</v>
      </c>
      <c r="E27" s="11" t="s">
        <v>1114</v>
      </c>
      <c r="F27" s="11" t="s">
        <v>160</v>
      </c>
      <c r="G27" s="11" t="s">
        <v>1357</v>
      </c>
      <c r="H27" s="11" t="s">
        <v>1358</v>
      </c>
      <c r="I27" s="11" t="n">
        <v>1440441</v>
      </c>
      <c r="J27" s="11" t="n">
        <v>50</v>
      </c>
      <c r="K27" s="11" t="s">
        <v>22</v>
      </c>
      <c r="L27" s="11" t="n">
        <v>82999044199</v>
      </c>
      <c r="M27" s="11" t="s">
        <v>1107</v>
      </c>
      <c r="N27" s="24" t="n">
        <v>45824</v>
      </c>
      <c r="O27" s="25" t="n">
        <f aca="false">INT((N27-D27)/365.25)</f>
        <v>23</v>
      </c>
      <c r="P27" s="12" t="s">
        <v>22</v>
      </c>
    </row>
    <row r="28" customFormat="false" ht="15" hidden="false" customHeight="false" outlineLevel="0" collapsed="false">
      <c r="A28" s="51" t="n">
        <v>24</v>
      </c>
      <c r="B28" s="10" t="n">
        <v>838919</v>
      </c>
      <c r="C28" s="11" t="s">
        <v>1359</v>
      </c>
      <c r="D28" s="12" t="n">
        <v>36019</v>
      </c>
      <c r="E28" s="11" t="s">
        <v>1104</v>
      </c>
      <c r="F28" s="11" t="s">
        <v>160</v>
      </c>
      <c r="G28" s="11" t="s">
        <v>1360</v>
      </c>
      <c r="H28" s="11" t="s">
        <v>1361</v>
      </c>
      <c r="I28" s="11" t="n">
        <v>1317822</v>
      </c>
      <c r="J28" s="11" t="n">
        <v>7470</v>
      </c>
      <c r="K28" s="11" t="s">
        <v>22</v>
      </c>
      <c r="L28" s="11" t="n">
        <v>82991071240</v>
      </c>
      <c r="M28" s="11" t="s">
        <v>1107</v>
      </c>
      <c r="N28" s="24" t="n">
        <v>45824</v>
      </c>
      <c r="O28" s="25" t="n">
        <f aca="false">INT((N28-D28)/365.25)</f>
        <v>26</v>
      </c>
      <c r="P28" s="12" t="s">
        <v>22</v>
      </c>
    </row>
    <row r="29" customFormat="false" ht="15" hidden="false" customHeight="false" outlineLevel="0" collapsed="false">
      <c r="A29" s="51" t="n">
        <v>25</v>
      </c>
      <c r="B29" s="10" t="n">
        <v>826539</v>
      </c>
      <c r="C29" s="11" t="s">
        <v>1362</v>
      </c>
      <c r="D29" s="12" t="n">
        <v>25713</v>
      </c>
      <c r="E29" s="11" t="s">
        <v>1104</v>
      </c>
      <c r="F29" s="11" t="s">
        <v>160</v>
      </c>
      <c r="G29" s="11" t="s">
        <v>1363</v>
      </c>
      <c r="H29" s="11" t="n">
        <v>974078</v>
      </c>
      <c r="I29" s="11" t="n">
        <v>56266</v>
      </c>
      <c r="J29" s="11" t="n">
        <v>25</v>
      </c>
      <c r="K29" s="11" t="s">
        <v>22</v>
      </c>
      <c r="L29" s="11" t="n">
        <v>82999426746</v>
      </c>
      <c r="M29" s="11" t="s">
        <v>1107</v>
      </c>
      <c r="N29" s="24" t="n">
        <v>45824</v>
      </c>
      <c r="O29" s="25" t="n">
        <f aca="false">INT((N29-D29)/365.25)</f>
        <v>55</v>
      </c>
      <c r="P29" s="12" t="s">
        <v>22</v>
      </c>
    </row>
    <row r="30" s="16" customFormat="true" ht="15" hidden="false" customHeight="false" outlineLevel="0" collapsed="false">
      <c r="A30" s="51" t="n">
        <v>26</v>
      </c>
      <c r="B30" s="10" t="n">
        <v>869443</v>
      </c>
      <c r="C30" s="11" t="s">
        <v>1364</v>
      </c>
      <c r="D30" s="12" t="n">
        <v>38603</v>
      </c>
      <c r="E30" s="11" t="s">
        <v>1184</v>
      </c>
      <c r="F30" s="11" t="s">
        <v>160</v>
      </c>
      <c r="G30" s="11" t="s">
        <v>1365</v>
      </c>
      <c r="H30" s="11" t="s">
        <v>1366</v>
      </c>
      <c r="I30" s="11" t="n">
        <v>1455601</v>
      </c>
      <c r="J30" s="11" t="n">
        <v>3496</v>
      </c>
      <c r="K30" s="11" t="s">
        <v>22</v>
      </c>
      <c r="L30" s="11" t="n">
        <v>82999663300</v>
      </c>
      <c r="M30" s="11" t="s">
        <v>1107</v>
      </c>
      <c r="N30" s="24" t="n">
        <v>45824</v>
      </c>
      <c r="O30" s="25" t="n">
        <f aca="false">INT((N30-D30)/365.25)</f>
        <v>19</v>
      </c>
      <c r="P30" s="12" t="s">
        <v>22</v>
      </c>
      <c r="Q30" s="0"/>
    </row>
    <row r="31" s="16" customFormat="true" ht="15" hidden="false" customHeight="false" outlineLevel="0" collapsed="false">
      <c r="A31" s="51" t="n">
        <v>27</v>
      </c>
      <c r="B31" s="10" t="n">
        <v>869444</v>
      </c>
      <c r="C31" s="11" t="s">
        <v>1367</v>
      </c>
      <c r="D31" s="12" t="n">
        <v>36087</v>
      </c>
      <c r="E31" s="11" t="s">
        <v>1184</v>
      </c>
      <c r="F31" s="11" t="s">
        <v>160</v>
      </c>
      <c r="G31" s="11" t="s">
        <v>1368</v>
      </c>
      <c r="H31" s="11" t="s">
        <v>1369</v>
      </c>
      <c r="I31" s="11" t="n">
        <v>789125</v>
      </c>
      <c r="J31" s="11" t="n">
        <v>7493</v>
      </c>
      <c r="K31" s="11" t="s">
        <v>22</v>
      </c>
      <c r="L31" s="11" t="n">
        <v>82996598165</v>
      </c>
      <c r="M31" s="11" t="s">
        <v>1107</v>
      </c>
      <c r="N31" s="24" t="n">
        <v>45824</v>
      </c>
      <c r="O31" s="25" t="n">
        <f aca="false">INT((N31-D31)/365.25)</f>
        <v>26</v>
      </c>
      <c r="P31" s="12" t="s">
        <v>22</v>
      </c>
      <c r="Q31" s="0"/>
    </row>
    <row r="32" customFormat="false" ht="15" hidden="false" customHeight="false" outlineLevel="0" collapsed="false">
      <c r="A32" s="51" t="n">
        <v>28</v>
      </c>
      <c r="B32" s="10" t="n">
        <v>870489</v>
      </c>
      <c r="C32" s="11" t="s">
        <v>1370</v>
      </c>
      <c r="D32" s="12" t="n">
        <v>38410</v>
      </c>
      <c r="E32" s="11" t="s">
        <v>1184</v>
      </c>
      <c r="F32" s="11" t="s">
        <v>160</v>
      </c>
      <c r="G32" s="15" t="s">
        <v>1371</v>
      </c>
      <c r="H32" s="11" t="n">
        <v>45194232</v>
      </c>
      <c r="I32" s="11" t="n">
        <v>1804132</v>
      </c>
      <c r="J32" s="11" t="n">
        <v>5432</v>
      </c>
      <c r="K32" s="11" t="s">
        <v>22</v>
      </c>
      <c r="L32" s="11" t="n">
        <v>82999992580</v>
      </c>
      <c r="M32" s="11" t="s">
        <v>1107</v>
      </c>
      <c r="N32" s="24" t="n">
        <v>45824</v>
      </c>
      <c r="O32" s="25" t="n">
        <f aca="false">INT((N32-D32)/365.25)</f>
        <v>20</v>
      </c>
      <c r="P32" s="12" t="s">
        <v>22</v>
      </c>
    </row>
    <row r="33" customFormat="false" ht="15" hidden="false" customHeight="false" outlineLevel="0" collapsed="false">
      <c r="A33" s="51" t="n">
        <v>29</v>
      </c>
      <c r="B33" s="10" t="n">
        <v>870570</v>
      </c>
      <c r="C33" s="11" t="s">
        <v>1372</v>
      </c>
      <c r="D33" s="12" t="n">
        <v>37323</v>
      </c>
      <c r="E33" s="11" t="s">
        <v>1104</v>
      </c>
      <c r="F33" s="11" t="s">
        <v>160</v>
      </c>
      <c r="G33" s="11" t="s">
        <v>1373</v>
      </c>
      <c r="H33" s="11" t="n">
        <v>45043816</v>
      </c>
      <c r="I33" s="11" t="n">
        <v>7211427</v>
      </c>
      <c r="J33" s="11" t="n">
        <v>3458</v>
      </c>
      <c r="K33" s="11" t="s">
        <v>22</v>
      </c>
      <c r="L33" s="11" t="n">
        <v>82996214517</v>
      </c>
      <c r="M33" s="11" t="s">
        <v>1107</v>
      </c>
      <c r="N33" s="24" t="n">
        <v>45824</v>
      </c>
      <c r="O33" s="25" t="n">
        <f aca="false">INT((N33-D33)/365.25)</f>
        <v>23</v>
      </c>
      <c r="P33" s="12" t="s">
        <v>22</v>
      </c>
    </row>
    <row r="34" customFormat="false" ht="15" hidden="false" customHeight="false" outlineLevel="0" collapsed="false">
      <c r="A34" s="51" t="n">
        <v>30</v>
      </c>
      <c r="B34" s="10" t="n">
        <v>869445</v>
      </c>
      <c r="C34" s="11" t="s">
        <v>1374</v>
      </c>
      <c r="D34" s="12" t="n">
        <v>35963</v>
      </c>
      <c r="E34" s="11" t="s">
        <v>1114</v>
      </c>
      <c r="F34" s="11" t="s">
        <v>160</v>
      </c>
      <c r="G34" s="11" t="s">
        <v>1375</v>
      </c>
      <c r="H34" s="11" t="s">
        <v>1376</v>
      </c>
      <c r="I34" s="11" t="n">
        <v>1794237</v>
      </c>
      <c r="J34" s="11" t="n">
        <v>461</v>
      </c>
      <c r="K34" s="11" t="s">
        <v>22</v>
      </c>
      <c r="L34" s="11" t="n">
        <v>82996201676</v>
      </c>
      <c r="M34" s="11" t="s">
        <v>1107</v>
      </c>
      <c r="N34" s="24" t="n">
        <v>45824</v>
      </c>
      <c r="O34" s="25" t="n">
        <f aca="false">INT((N34-D34)/365.25)</f>
        <v>26</v>
      </c>
      <c r="P34" s="12" t="s">
        <v>22</v>
      </c>
      <c r="Q34" s="16"/>
    </row>
    <row r="35" customFormat="false" ht="16.4" hidden="false" customHeight="false" outlineLevel="0" collapsed="false">
      <c r="A35" s="51" t="n">
        <v>31</v>
      </c>
      <c r="B35" s="10" t="n">
        <v>872321</v>
      </c>
      <c r="C35" s="34" t="s">
        <v>1377</v>
      </c>
      <c r="D35" s="12" t="n">
        <v>30913</v>
      </c>
      <c r="E35" s="11" t="s">
        <v>1184</v>
      </c>
      <c r="F35" s="11" t="s">
        <v>160</v>
      </c>
      <c r="G35" s="11" t="s">
        <v>1378</v>
      </c>
      <c r="H35" s="11" t="s">
        <v>1379</v>
      </c>
      <c r="I35" s="11" t="n">
        <v>763006</v>
      </c>
      <c r="J35" s="11" t="n">
        <v>5485</v>
      </c>
      <c r="K35" s="11" t="s">
        <v>22</v>
      </c>
      <c r="L35" s="55" t="s">
        <v>1380</v>
      </c>
      <c r="M35" s="11" t="s">
        <v>1107</v>
      </c>
      <c r="N35" s="24" t="n">
        <v>45824</v>
      </c>
      <c r="O35" s="25" t="n">
        <f aca="false">INT((N35-D35)/365.25)</f>
        <v>40</v>
      </c>
      <c r="P35" s="12" t="s">
        <v>22</v>
      </c>
      <c r="Q35" s="16"/>
    </row>
    <row r="36" customFormat="false" ht="15" hidden="false" customHeight="false" outlineLevel="0" collapsed="false">
      <c r="A36" s="51" t="n">
        <v>32</v>
      </c>
      <c r="B36" s="10" t="n">
        <v>859177</v>
      </c>
      <c r="C36" s="11" t="s">
        <v>1381</v>
      </c>
      <c r="D36" s="12" t="n">
        <v>38066</v>
      </c>
      <c r="E36" s="11" t="s">
        <v>1114</v>
      </c>
      <c r="F36" s="11" t="s">
        <v>160</v>
      </c>
      <c r="G36" s="11" t="s">
        <v>1382</v>
      </c>
      <c r="H36" s="11" t="s">
        <v>1383</v>
      </c>
      <c r="I36" s="11" t="n">
        <v>1298905</v>
      </c>
      <c r="J36" s="11" t="n">
        <v>7455</v>
      </c>
      <c r="K36" s="11" t="s">
        <v>22</v>
      </c>
      <c r="L36" s="11" t="n">
        <v>82999663926</v>
      </c>
      <c r="M36" s="11" t="s">
        <v>1107</v>
      </c>
      <c r="N36" s="24" t="n">
        <v>45824</v>
      </c>
      <c r="O36" s="25" t="n">
        <f aca="false">INT((N36-D36)/365.25)</f>
        <v>21</v>
      </c>
      <c r="P36" s="12" t="s">
        <v>22</v>
      </c>
    </row>
    <row r="37" customFormat="false" ht="15" hidden="false" customHeight="false" outlineLevel="0" collapsed="false">
      <c r="A37" s="51" t="n">
        <v>33</v>
      </c>
      <c r="B37" s="10" t="n">
        <v>862927</v>
      </c>
      <c r="C37" s="11" t="s">
        <v>1384</v>
      </c>
      <c r="D37" s="12" t="n">
        <v>34881</v>
      </c>
      <c r="E37" s="11" t="s">
        <v>1104</v>
      </c>
      <c r="F37" s="11" t="s">
        <v>160</v>
      </c>
      <c r="G37" s="11" t="s">
        <v>1385</v>
      </c>
      <c r="H37" s="11" t="s">
        <v>1386</v>
      </c>
      <c r="I37" s="11" t="n">
        <v>1237121</v>
      </c>
      <c r="J37" s="11" t="n">
        <v>8413</v>
      </c>
      <c r="K37" s="11" t="s">
        <v>22</v>
      </c>
      <c r="L37" s="11" t="n">
        <v>82993911411</v>
      </c>
      <c r="M37" s="11" t="s">
        <v>1107</v>
      </c>
      <c r="N37" s="24" t="n">
        <v>45824</v>
      </c>
      <c r="O37" s="25" t="n">
        <f aca="false">INT((N37-D37)/365.25)</f>
        <v>29</v>
      </c>
      <c r="P37" s="12" t="s">
        <v>22</v>
      </c>
    </row>
    <row r="38" customFormat="false" ht="16.4" hidden="false" customHeight="false" outlineLevel="0" collapsed="false">
      <c r="A38" s="51" t="n">
        <v>34</v>
      </c>
      <c r="B38" s="10" t="n">
        <v>870577</v>
      </c>
      <c r="C38" s="11" t="s">
        <v>1387</v>
      </c>
      <c r="D38" s="12" t="n">
        <v>35165</v>
      </c>
      <c r="E38" s="11" t="s">
        <v>1104</v>
      </c>
      <c r="F38" s="11" t="s">
        <v>160</v>
      </c>
      <c r="G38" s="11" t="s">
        <v>1388</v>
      </c>
      <c r="H38" s="11" t="s">
        <v>1389</v>
      </c>
      <c r="I38" s="11" t="n">
        <v>1144973</v>
      </c>
      <c r="J38" s="11" t="n">
        <v>7404</v>
      </c>
      <c r="K38" s="11" t="s">
        <v>22</v>
      </c>
      <c r="L38" s="55" t="s">
        <v>1390</v>
      </c>
      <c r="M38" s="11" t="s">
        <v>1107</v>
      </c>
      <c r="N38" s="24" t="n">
        <v>45824</v>
      </c>
      <c r="O38" s="25" t="n">
        <f aca="false">INT((N38-D38)/365.25)</f>
        <v>29</v>
      </c>
      <c r="P38" s="12" t="s">
        <v>22</v>
      </c>
    </row>
    <row r="39" customFormat="false" ht="15" hidden="false" customHeight="false" outlineLevel="0" collapsed="false">
      <c r="A39" s="51" t="n">
        <v>35</v>
      </c>
      <c r="B39" s="10" t="n">
        <v>862627</v>
      </c>
      <c r="C39" s="11" t="s">
        <v>1391</v>
      </c>
      <c r="D39" s="12" t="n">
        <v>28174</v>
      </c>
      <c r="E39" s="11" t="s">
        <v>1104</v>
      </c>
      <c r="F39" s="11" t="s">
        <v>160</v>
      </c>
      <c r="G39" s="11" t="s">
        <v>1392</v>
      </c>
      <c r="H39" s="11" t="s">
        <v>1393</v>
      </c>
      <c r="I39" s="11" t="n">
        <v>370044</v>
      </c>
      <c r="J39" s="11" t="n">
        <v>3471</v>
      </c>
      <c r="K39" s="11" t="s">
        <v>22</v>
      </c>
      <c r="L39" s="11" t="n">
        <v>82993292418</v>
      </c>
      <c r="M39" s="11" t="s">
        <v>1107</v>
      </c>
      <c r="N39" s="24" t="n">
        <v>45824</v>
      </c>
      <c r="O39" s="25" t="n">
        <f aca="false">INT((N39-D39)/365.25)</f>
        <v>48</v>
      </c>
      <c r="P39" s="12" t="s">
        <v>22</v>
      </c>
    </row>
    <row r="40" customFormat="false" ht="16.4" hidden="false" customHeight="false" outlineLevel="0" collapsed="false">
      <c r="A40" s="51" t="n">
        <v>36</v>
      </c>
      <c r="B40" s="10" t="n">
        <v>859260</v>
      </c>
      <c r="C40" s="11" t="s">
        <v>1394</v>
      </c>
      <c r="D40" s="12" t="n">
        <v>27368</v>
      </c>
      <c r="E40" s="11" t="s">
        <v>1104</v>
      </c>
      <c r="F40" s="11" t="s">
        <v>160</v>
      </c>
      <c r="G40" s="11" t="s">
        <v>1395</v>
      </c>
      <c r="H40" s="11" t="n">
        <v>45227051</v>
      </c>
      <c r="I40" s="11" t="n">
        <v>9256408</v>
      </c>
      <c r="J40" s="11" t="n">
        <v>9453</v>
      </c>
      <c r="K40" s="11" t="s">
        <v>22</v>
      </c>
      <c r="L40" s="55" t="s">
        <v>1396</v>
      </c>
      <c r="M40" s="11" t="s">
        <v>1107</v>
      </c>
      <c r="N40" s="24" t="n">
        <v>45824</v>
      </c>
      <c r="O40" s="25" t="n">
        <f aca="false">INT((N40-D40)/365.25)</f>
        <v>50</v>
      </c>
      <c r="P40" s="12" t="s">
        <v>22</v>
      </c>
      <c r="Q40" s="16"/>
    </row>
    <row r="41" customFormat="false" ht="16.4" hidden="false" customHeight="false" outlineLevel="0" collapsed="false">
      <c r="A41" s="51" t="n">
        <v>37</v>
      </c>
      <c r="B41" s="10" t="n">
        <v>869467</v>
      </c>
      <c r="C41" s="11" t="s">
        <v>1397</v>
      </c>
      <c r="D41" s="12" t="n">
        <v>37362</v>
      </c>
      <c r="E41" s="11" t="s">
        <v>1114</v>
      </c>
      <c r="F41" s="11" t="s">
        <v>160</v>
      </c>
      <c r="G41" s="11" t="s">
        <v>1398</v>
      </c>
      <c r="H41" s="11" t="n">
        <v>45050043</v>
      </c>
      <c r="I41" s="11" t="n">
        <v>7196066</v>
      </c>
      <c r="J41" s="11" t="n">
        <v>5456</v>
      </c>
      <c r="K41" s="11" t="s">
        <v>22</v>
      </c>
      <c r="L41" s="55" t="s">
        <v>1399</v>
      </c>
      <c r="M41" s="11" t="s">
        <v>1107</v>
      </c>
      <c r="N41" s="24" t="n">
        <v>45824</v>
      </c>
      <c r="O41" s="25" t="n">
        <f aca="false">INT((N41-D41)/365.25)</f>
        <v>23</v>
      </c>
      <c r="P41" s="12" t="s">
        <v>22</v>
      </c>
    </row>
    <row r="42" customFormat="false" ht="15" hidden="false" customHeight="false" outlineLevel="0" collapsed="false">
      <c r="A42" s="51" t="n">
        <v>38</v>
      </c>
      <c r="B42" s="10" t="n">
        <v>862791</v>
      </c>
      <c r="C42" s="11" t="s">
        <v>1400</v>
      </c>
      <c r="D42" s="12" t="n">
        <v>28353</v>
      </c>
      <c r="E42" s="11" t="s">
        <v>1104</v>
      </c>
      <c r="F42" s="11" t="s">
        <v>160</v>
      </c>
      <c r="G42" s="11" t="s">
        <v>1401</v>
      </c>
      <c r="H42" s="11" t="s">
        <v>1402</v>
      </c>
      <c r="I42" s="11" t="n">
        <v>287574</v>
      </c>
      <c r="J42" s="11" t="n">
        <v>2450</v>
      </c>
      <c r="K42" s="11" t="s">
        <v>22</v>
      </c>
      <c r="L42" s="11"/>
      <c r="M42" s="11" t="s">
        <v>1107</v>
      </c>
      <c r="N42" s="24" t="n">
        <v>45824</v>
      </c>
      <c r="O42" s="25" t="n">
        <f aca="false">INT((N42-D42)/365.25)</f>
        <v>47</v>
      </c>
      <c r="P42" s="12" t="s">
        <v>22</v>
      </c>
    </row>
    <row r="43" customFormat="false" ht="15" hidden="false" customHeight="false" outlineLevel="0" collapsed="false">
      <c r="A43" s="51" t="n">
        <v>39</v>
      </c>
      <c r="B43" s="10" t="n">
        <v>869869</v>
      </c>
      <c r="C43" s="11" t="s">
        <v>1403</v>
      </c>
      <c r="D43" s="12" t="n">
        <v>35262</v>
      </c>
      <c r="E43" s="11" t="s">
        <v>1114</v>
      </c>
      <c r="F43" s="11" t="s">
        <v>160</v>
      </c>
      <c r="G43" s="11" t="s">
        <v>1404</v>
      </c>
      <c r="H43" s="11" t="s">
        <v>1405</v>
      </c>
      <c r="I43" s="11" t="n">
        <v>1544068</v>
      </c>
      <c r="J43" s="11" t="n">
        <v>40</v>
      </c>
      <c r="K43" s="11" t="s">
        <v>22</v>
      </c>
      <c r="L43" s="11" t="n">
        <v>34991193740</v>
      </c>
      <c r="M43" s="11" t="s">
        <v>1107</v>
      </c>
      <c r="N43" s="24" t="n">
        <v>45824</v>
      </c>
      <c r="O43" s="25" t="n">
        <f aca="false">INT((N43-D43)/365.25)</f>
        <v>28</v>
      </c>
      <c r="P43" s="12" t="s">
        <v>22</v>
      </c>
    </row>
    <row r="44" customFormat="false" ht="15" hidden="false" customHeight="false" outlineLevel="0" collapsed="false">
      <c r="A44" s="51" t="n">
        <v>40</v>
      </c>
      <c r="B44" s="10" t="n">
        <v>869469</v>
      </c>
      <c r="C44" s="11" t="s">
        <v>1406</v>
      </c>
      <c r="D44" s="12" t="n">
        <v>35265</v>
      </c>
      <c r="E44" s="11" t="s">
        <v>1104</v>
      </c>
      <c r="F44" s="11" t="s">
        <v>160</v>
      </c>
      <c r="G44" s="11" t="s">
        <v>1407</v>
      </c>
      <c r="H44" s="11" t="s">
        <v>1408</v>
      </c>
      <c r="I44" s="11" t="n">
        <v>1559748</v>
      </c>
      <c r="J44" s="11" t="n">
        <v>7450</v>
      </c>
      <c r="K44" s="11" t="s">
        <v>22</v>
      </c>
      <c r="L44" s="11" t="n">
        <v>82996418963</v>
      </c>
      <c r="M44" s="11" t="s">
        <v>1107</v>
      </c>
      <c r="N44" s="24" t="n">
        <v>45824</v>
      </c>
      <c r="O44" s="25" t="n">
        <f aca="false">INT((N44-D44)/365.25)</f>
        <v>28</v>
      </c>
      <c r="P44" s="12" t="s">
        <v>22</v>
      </c>
    </row>
    <row r="45" customFormat="false" ht="15" hidden="false" customHeight="false" outlineLevel="0" collapsed="false">
      <c r="A45" s="51" t="n">
        <v>41</v>
      </c>
      <c r="B45" s="10" t="n">
        <v>832895</v>
      </c>
      <c r="C45" s="11" t="s">
        <v>1409</v>
      </c>
      <c r="D45" s="12" t="n">
        <v>37622</v>
      </c>
      <c r="E45" s="11" t="s">
        <v>1184</v>
      </c>
      <c r="F45" s="11" t="s">
        <v>160</v>
      </c>
      <c r="G45" s="11" t="s">
        <v>1410</v>
      </c>
      <c r="H45" s="11" t="s">
        <v>1411</v>
      </c>
      <c r="I45" s="11" t="n">
        <v>1346801</v>
      </c>
      <c r="J45" s="11" t="n">
        <v>2403</v>
      </c>
      <c r="K45" s="11" t="s">
        <v>22</v>
      </c>
      <c r="L45" s="11" t="n">
        <v>82999288713</v>
      </c>
      <c r="M45" s="11" t="s">
        <v>1107</v>
      </c>
      <c r="N45" s="24" t="n">
        <v>45824</v>
      </c>
      <c r="O45" s="25" t="n">
        <f aca="false">INT((N45-D45)/365.25)</f>
        <v>22</v>
      </c>
      <c r="P45" s="12" t="s">
        <v>22</v>
      </c>
    </row>
  </sheetData>
  <mergeCells count="1">
    <mergeCell ref="A1:P2"/>
  </mergeCells>
  <conditionalFormatting sqref="O5:O45">
    <cfRule type="colorScale" priority="2">
      <colorScale>
        <cfvo type="num" val="17"/>
        <cfvo type="num" val="18"/>
        <color rgb="FFFF0000"/>
        <color rgb="FF92D050"/>
      </colorScale>
    </cfRule>
  </conditionalFormatting>
  <hyperlinks>
    <hyperlink ref="L21" r:id="rId1" display="deivinhovitti@icloud.com"/>
    <hyperlink ref="L35" r:id="rId2" display="djoseantonio657@gmail.com"/>
    <hyperlink ref="L38" r:id="rId3" display="RAVIRCH85@GMAIL.COM"/>
    <hyperlink ref="L40" r:id="rId4" display="guettho2015@outlook.com"/>
    <hyperlink ref="L41" r:id="rId5" display="henriquepauloxd01@gmail.com"/>
  </hyperlink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6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K11" activeCellId="0" sqref="K1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6.86"/>
    <col collapsed="false" customWidth="true" hidden="false" outlineLevel="0" max="3" min="3" style="0" width="31.43"/>
    <col collapsed="false" customWidth="true" hidden="false" outlineLevel="0" max="4" min="4" style="0" width="9"/>
    <col collapsed="false" customWidth="true" hidden="false" outlineLevel="0" max="5" min="5" style="0" width="15.15"/>
    <col collapsed="false" customWidth="true" hidden="false" outlineLevel="0" max="6" min="6" style="0" width="6.43"/>
    <col collapsed="false" customWidth="true" hidden="false" outlineLevel="0" max="7" min="7" style="0" width="13"/>
    <col collapsed="false" customWidth="true" hidden="false" outlineLevel="0" max="8" min="8" style="0" width="9.71"/>
    <col collapsed="false" customWidth="true" hidden="false" outlineLevel="0" max="9" min="9" style="0" width="7.86"/>
    <col collapsed="false" customWidth="true" hidden="false" outlineLevel="0" max="10" min="10" style="0" width="5"/>
    <col collapsed="false" customWidth="true" hidden="false" outlineLevel="0" max="11" min="11" style="0" width="5.29"/>
    <col collapsed="false" customWidth="true" hidden="false" outlineLevel="0" max="12" min="12" style="0" width="17.29"/>
    <col collapsed="false" customWidth="true" hidden="false" outlineLevel="0" max="13" min="13" style="0" width="9.29"/>
    <col collapsed="false" customWidth="true" hidden="false" outlineLevel="0" max="14" min="14" style="0" width="5.71"/>
    <col collapsed="false" customWidth="true" hidden="false" outlineLevel="0" max="15" min="15" style="0" width="6.29"/>
    <col collapsed="false" customWidth="true" hidden="false" outlineLevel="0" max="16" min="16" style="0" width="12.57"/>
  </cols>
  <sheetData>
    <row r="1" customFormat="false" ht="15" hidden="false" customHeight="false" outlineLevel="0" collapsed="false">
      <c r="A1" s="54" t="s">
        <v>1412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</row>
    <row r="2" customFormat="false" ht="15" hidden="false" customHeight="false" outlineLevel="0" collapsed="false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</row>
    <row r="3" customFormat="false" ht="15" hidden="false" customHeight="false" outlineLevel="0" collapsed="false">
      <c r="A3" s="43"/>
      <c r="B3" s="44" t="s">
        <v>1</v>
      </c>
      <c r="C3" s="44" t="s">
        <v>2</v>
      </c>
      <c r="D3" s="44" t="s">
        <v>3</v>
      </c>
      <c r="E3" s="44" t="s">
        <v>4</v>
      </c>
      <c r="F3" s="44" t="s">
        <v>5</v>
      </c>
      <c r="G3" s="45" t="s">
        <v>6</v>
      </c>
      <c r="H3" s="44" t="s">
        <v>7</v>
      </c>
      <c r="I3" s="44" t="s">
        <v>8</v>
      </c>
      <c r="J3" s="44" t="s">
        <v>9</v>
      </c>
      <c r="K3" s="44" t="s">
        <v>10</v>
      </c>
      <c r="L3" s="44" t="s">
        <v>11</v>
      </c>
      <c r="M3" s="44" t="s">
        <v>12</v>
      </c>
      <c r="N3" s="44" t="s">
        <v>13</v>
      </c>
      <c r="O3" s="44" t="s">
        <v>16</v>
      </c>
    </row>
    <row r="4" customFormat="false" ht="15" hidden="false" customHeight="false" outlineLevel="0" collapsed="false">
      <c r="A4" s="46"/>
      <c r="B4" s="47"/>
      <c r="C4" s="44" t="s">
        <v>1413</v>
      </c>
      <c r="D4" s="48"/>
      <c r="E4" s="47"/>
      <c r="F4" s="47"/>
      <c r="G4" s="47"/>
      <c r="H4" s="47"/>
      <c r="I4" s="47"/>
      <c r="J4" s="47"/>
      <c r="K4" s="47"/>
      <c r="L4" s="49"/>
      <c r="M4" s="50"/>
      <c r="N4" s="44"/>
      <c r="O4" s="44"/>
    </row>
    <row r="5" customFormat="false" ht="15" hidden="false" customHeight="false" outlineLevel="0" collapsed="false">
      <c r="A5" s="51" t="n">
        <v>1</v>
      </c>
      <c r="B5" s="10" t="n">
        <v>869483</v>
      </c>
      <c r="C5" s="11" t="s">
        <v>1414</v>
      </c>
      <c r="D5" s="12" t="n">
        <v>35614</v>
      </c>
      <c r="E5" s="11"/>
      <c r="F5" s="11"/>
      <c r="G5" s="11" t="s">
        <v>1415</v>
      </c>
      <c r="H5" s="11" t="n">
        <v>7685064</v>
      </c>
      <c r="I5" s="11" t="n">
        <v>458236</v>
      </c>
      <c r="J5" s="11" t="n">
        <v>7216</v>
      </c>
      <c r="K5" s="11" t="s">
        <v>30</v>
      </c>
      <c r="L5" s="11" t="s">
        <v>322</v>
      </c>
      <c r="M5" s="24" t="n">
        <v>45793</v>
      </c>
      <c r="N5" s="25" t="n">
        <f aca="false">INT((M5-D5)/365.25)</f>
        <v>27</v>
      </c>
      <c r="O5" s="12" t="s">
        <v>22</v>
      </c>
    </row>
    <row r="6" customFormat="false" ht="15" hidden="false" customHeight="false" outlineLevel="0" collapsed="false">
      <c r="A6" s="51" t="n">
        <v>2</v>
      </c>
      <c r="B6" s="10" t="n">
        <v>869484</v>
      </c>
      <c r="C6" s="11" t="s">
        <v>1416</v>
      </c>
      <c r="D6" s="12" t="n">
        <v>33595</v>
      </c>
      <c r="E6" s="11"/>
      <c r="F6" s="11"/>
      <c r="G6" s="11" t="s">
        <v>1417</v>
      </c>
      <c r="H6" s="11" t="n">
        <v>7150450</v>
      </c>
      <c r="I6" s="11" t="n">
        <v>24103</v>
      </c>
      <c r="J6" s="11" t="n">
        <v>74</v>
      </c>
      <c r="K6" s="11" t="s">
        <v>30</v>
      </c>
      <c r="L6" s="11" t="s">
        <v>322</v>
      </c>
      <c r="M6" s="24" t="n">
        <v>45793</v>
      </c>
      <c r="N6" s="25" t="n">
        <f aca="false">INT((M6-D6)/365.25)</f>
        <v>33</v>
      </c>
      <c r="O6" s="12" t="s">
        <v>22</v>
      </c>
    </row>
    <row r="7" customFormat="false" ht="15" hidden="false" customHeight="false" outlineLevel="0" collapsed="false">
      <c r="A7" s="51" t="n">
        <v>3</v>
      </c>
      <c r="B7" s="10" t="n">
        <v>869485</v>
      </c>
      <c r="C7" s="11" t="s">
        <v>1418</v>
      </c>
      <c r="D7" s="12" t="n">
        <v>38343</v>
      </c>
      <c r="E7" s="11"/>
      <c r="F7" s="11"/>
      <c r="G7" s="11" t="s">
        <v>1419</v>
      </c>
      <c r="H7" s="11" t="n">
        <v>9273216</v>
      </c>
      <c r="I7" s="11" t="n">
        <v>848862</v>
      </c>
      <c r="J7" s="11" t="n">
        <v>1205</v>
      </c>
      <c r="K7" s="11" t="s">
        <v>30</v>
      </c>
      <c r="L7" s="11" t="s">
        <v>322</v>
      </c>
      <c r="M7" s="24" t="n">
        <v>45793</v>
      </c>
      <c r="N7" s="25" t="n">
        <f aca="false">INT((M7-D7)/365.25)</f>
        <v>20</v>
      </c>
      <c r="O7" s="12" t="s">
        <v>22</v>
      </c>
    </row>
    <row r="8" customFormat="false" ht="15" hidden="false" customHeight="false" outlineLevel="0" collapsed="false">
      <c r="A8" s="51" t="n">
        <v>4</v>
      </c>
      <c r="B8" s="10" t="n">
        <v>869488</v>
      </c>
      <c r="C8" s="11" t="s">
        <v>1420</v>
      </c>
      <c r="D8" s="12" t="n">
        <v>37015</v>
      </c>
      <c r="E8" s="11"/>
      <c r="F8" s="11"/>
      <c r="G8" s="11" t="s">
        <v>1421</v>
      </c>
      <c r="H8" s="11" t="n">
        <v>9455450</v>
      </c>
      <c r="I8" s="11" t="n">
        <v>615240</v>
      </c>
      <c r="J8" s="11" t="n">
        <v>8288</v>
      </c>
      <c r="K8" s="11" t="s">
        <v>30</v>
      </c>
      <c r="L8" s="11" t="s">
        <v>322</v>
      </c>
      <c r="M8" s="24" t="n">
        <v>45793</v>
      </c>
      <c r="N8" s="25" t="n">
        <f aca="false">INT((M8-D8)/365.25)</f>
        <v>24</v>
      </c>
      <c r="O8" s="12" t="s">
        <v>22</v>
      </c>
    </row>
    <row r="9" customFormat="false" ht="15" hidden="false" customHeight="false" outlineLevel="0" collapsed="false">
      <c r="A9" s="51" t="n">
        <v>5</v>
      </c>
      <c r="B9" s="10" t="n">
        <v>489755</v>
      </c>
      <c r="C9" s="11" t="s">
        <v>1222</v>
      </c>
      <c r="D9" s="12" t="n">
        <v>26322</v>
      </c>
      <c r="E9" s="11"/>
      <c r="F9" s="11"/>
      <c r="G9" s="11" t="s">
        <v>1223</v>
      </c>
      <c r="H9" s="11" t="n">
        <v>7349609</v>
      </c>
      <c r="I9" s="11" t="n">
        <v>61861</v>
      </c>
      <c r="J9" s="11" t="n">
        <v>67</v>
      </c>
      <c r="K9" s="11" t="s">
        <v>30</v>
      </c>
      <c r="L9" s="11" t="s">
        <v>322</v>
      </c>
      <c r="M9" s="24" t="n">
        <v>45793</v>
      </c>
      <c r="N9" s="25" t="n">
        <f aca="false">INT((M9-D9)/365.25)</f>
        <v>53</v>
      </c>
      <c r="O9" s="12" t="s">
        <v>22</v>
      </c>
    </row>
    <row r="10" customFormat="false" ht="15" hidden="false" customHeight="false" outlineLevel="0" collapsed="false">
      <c r="A10" s="51" t="n">
        <v>6</v>
      </c>
      <c r="B10" s="10" t="n">
        <v>869490</v>
      </c>
      <c r="C10" s="11" t="s">
        <v>1422</v>
      </c>
      <c r="D10" s="12" t="n">
        <v>25521</v>
      </c>
      <c r="E10" s="11"/>
      <c r="F10" s="11"/>
      <c r="G10" s="11" t="s">
        <v>1423</v>
      </c>
      <c r="H10" s="11" t="n">
        <v>6618586</v>
      </c>
      <c r="I10" s="11" t="n">
        <v>2148079</v>
      </c>
      <c r="J10" s="11" t="n">
        <v>60</v>
      </c>
      <c r="K10" s="11" t="s">
        <v>30</v>
      </c>
      <c r="L10" s="11" t="s">
        <v>322</v>
      </c>
      <c r="M10" s="24" t="n">
        <v>45793</v>
      </c>
      <c r="N10" s="25" t="n">
        <f aca="false">INT((M10-D10)/365.25)</f>
        <v>55</v>
      </c>
      <c r="O10" s="12" t="s">
        <v>22</v>
      </c>
    </row>
    <row r="11" customFormat="false" ht="15" hidden="false" customHeight="false" outlineLevel="0" collapsed="false">
      <c r="A11" s="51" t="n">
        <v>7</v>
      </c>
      <c r="B11" s="10" t="n">
        <v>869492</v>
      </c>
      <c r="C11" s="11" t="s">
        <v>1424</v>
      </c>
      <c r="D11" s="12" t="n">
        <v>35927</v>
      </c>
      <c r="E11" s="11"/>
      <c r="F11" s="11"/>
      <c r="G11" s="11" t="s">
        <v>1425</v>
      </c>
      <c r="H11" s="11" t="n">
        <v>8737294</v>
      </c>
      <c r="I11" s="11" t="n">
        <v>723396</v>
      </c>
      <c r="J11" s="11" t="n">
        <v>7288</v>
      </c>
      <c r="K11" s="11" t="s">
        <v>30</v>
      </c>
      <c r="L11" s="11" t="s">
        <v>322</v>
      </c>
      <c r="M11" s="24" t="n">
        <v>45793</v>
      </c>
      <c r="N11" s="25" t="n">
        <f aca="false">INT((M11-D11)/365.25)</f>
        <v>27</v>
      </c>
      <c r="O11" s="12" t="s">
        <v>22</v>
      </c>
    </row>
    <row r="12" customFormat="false" ht="15" hidden="false" customHeight="false" outlineLevel="0" collapsed="false">
      <c r="A12" s="51" t="n">
        <v>8</v>
      </c>
      <c r="B12" s="10" t="n">
        <v>869494</v>
      </c>
      <c r="C12" s="11" t="s">
        <v>1426</v>
      </c>
      <c r="D12" s="12" t="n">
        <v>37246</v>
      </c>
      <c r="E12" s="11"/>
      <c r="F12" s="11"/>
      <c r="G12" s="11" t="s">
        <v>1427</v>
      </c>
      <c r="H12" s="11" t="n">
        <v>10106360</v>
      </c>
      <c r="I12" s="11" t="n">
        <v>960763</v>
      </c>
      <c r="J12" s="11" t="n">
        <v>2281</v>
      </c>
      <c r="K12" s="11" t="s">
        <v>30</v>
      </c>
      <c r="L12" s="11" t="s">
        <v>322</v>
      </c>
      <c r="M12" s="24" t="n">
        <v>45793</v>
      </c>
      <c r="N12" s="25" t="n">
        <f aca="false">INT((M12-D12)/365.25)</f>
        <v>23</v>
      </c>
      <c r="O12" s="12" t="s">
        <v>22</v>
      </c>
    </row>
    <row r="13" customFormat="false" ht="15" hidden="false" customHeight="false" outlineLevel="0" collapsed="false">
      <c r="A13" s="51" t="n">
        <v>9</v>
      </c>
      <c r="B13" s="10" t="n">
        <v>869376</v>
      </c>
      <c r="C13" s="11" t="s">
        <v>1428</v>
      </c>
      <c r="D13" s="12" t="n">
        <v>38132</v>
      </c>
      <c r="E13" s="11"/>
      <c r="F13" s="11"/>
      <c r="G13" s="11" t="s">
        <v>1429</v>
      </c>
      <c r="H13" s="11" t="n">
        <v>9236438</v>
      </c>
      <c r="I13" s="11" t="n">
        <v>844899</v>
      </c>
      <c r="J13" s="11" t="n">
        <v>4299</v>
      </c>
      <c r="K13" s="11" t="s">
        <v>30</v>
      </c>
      <c r="L13" s="11" t="s">
        <v>322</v>
      </c>
      <c r="M13" s="24" t="n">
        <v>45793</v>
      </c>
      <c r="N13" s="25" t="n">
        <f aca="false">INT((M13-D13)/365.25)</f>
        <v>20</v>
      </c>
      <c r="O13" s="12" t="s">
        <v>22</v>
      </c>
    </row>
    <row r="14" customFormat="false" ht="15" hidden="false" customHeight="false" outlineLevel="0" collapsed="false">
      <c r="A14" s="51" t="n">
        <v>10</v>
      </c>
      <c r="B14" s="10"/>
      <c r="C14" s="11" t="s">
        <v>1226</v>
      </c>
      <c r="D14" s="12" t="n">
        <v>39100</v>
      </c>
      <c r="E14" s="11"/>
      <c r="F14" s="11"/>
      <c r="G14" s="34" t="s">
        <v>1021</v>
      </c>
      <c r="H14" s="11" t="n">
        <v>10629572</v>
      </c>
      <c r="I14" s="34" t="s">
        <v>997</v>
      </c>
      <c r="J14" s="34" t="s">
        <v>1021</v>
      </c>
      <c r="K14" s="11" t="s">
        <v>30</v>
      </c>
      <c r="L14" s="11" t="s">
        <v>322</v>
      </c>
      <c r="M14" s="24" t="n">
        <v>45793</v>
      </c>
      <c r="N14" s="25" t="n">
        <f aca="false">INT((M14-D14)/365.25)</f>
        <v>18</v>
      </c>
      <c r="O14" s="12" t="s">
        <v>30</v>
      </c>
    </row>
    <row r="15" customFormat="false" ht="15" hidden="false" customHeight="false" outlineLevel="0" collapsed="false">
      <c r="A15" s="51" t="n">
        <v>11</v>
      </c>
      <c r="B15" s="10" t="n">
        <v>869496</v>
      </c>
      <c r="C15" s="11" t="s">
        <v>1430</v>
      </c>
      <c r="D15" s="12" t="n">
        <v>36897</v>
      </c>
      <c r="E15" s="11"/>
      <c r="F15" s="11"/>
      <c r="G15" s="11" t="s">
        <v>1431</v>
      </c>
      <c r="H15" s="11" t="n">
        <v>9857044</v>
      </c>
      <c r="I15" s="11" t="n">
        <v>7126168</v>
      </c>
      <c r="J15" s="11" t="n">
        <v>8295</v>
      </c>
      <c r="K15" s="11" t="s">
        <v>30</v>
      </c>
      <c r="L15" s="11" t="s">
        <v>322</v>
      </c>
      <c r="M15" s="24" t="n">
        <v>45793</v>
      </c>
      <c r="N15" s="25" t="n">
        <f aca="false">INT((M15-D15)/365.25)</f>
        <v>24</v>
      </c>
      <c r="O15" s="12" t="s">
        <v>22</v>
      </c>
    </row>
    <row r="16" customFormat="false" ht="15" hidden="false" customHeight="false" outlineLevel="0" collapsed="false">
      <c r="A16" s="51" t="n">
        <v>12</v>
      </c>
      <c r="B16" s="10" t="n">
        <v>844812</v>
      </c>
      <c r="C16" s="11" t="s">
        <v>1432</v>
      </c>
      <c r="D16" s="12" t="n">
        <v>36423</v>
      </c>
      <c r="E16" s="11"/>
      <c r="F16" s="11"/>
      <c r="G16" s="11" t="s">
        <v>1433</v>
      </c>
      <c r="H16" s="11" t="n">
        <v>9576885</v>
      </c>
      <c r="I16" s="11" t="n">
        <v>1071398</v>
      </c>
      <c r="J16" s="11" t="n">
        <v>4236</v>
      </c>
      <c r="K16" s="11" t="s">
        <v>30</v>
      </c>
      <c r="L16" s="11" t="s">
        <v>322</v>
      </c>
      <c r="M16" s="24" t="n">
        <v>45793</v>
      </c>
      <c r="N16" s="25" t="n">
        <f aca="false">INT((M16-D16)/365.25)</f>
        <v>25</v>
      </c>
      <c r="O16" s="12" t="s">
        <v>22</v>
      </c>
    </row>
    <row r="17" customFormat="false" ht="15" hidden="false" customHeight="false" outlineLevel="0" collapsed="false">
      <c r="A17" s="51" t="n">
        <v>13</v>
      </c>
      <c r="B17" s="10" t="n">
        <v>869497</v>
      </c>
      <c r="C17" s="11" t="s">
        <v>1434</v>
      </c>
      <c r="D17" s="12" t="n">
        <v>38797</v>
      </c>
      <c r="E17" s="11"/>
      <c r="F17" s="11"/>
      <c r="G17" s="11" t="s">
        <v>1435</v>
      </c>
      <c r="H17" s="11" t="n">
        <v>9146876</v>
      </c>
      <c r="I17" s="11" t="n">
        <v>779076</v>
      </c>
      <c r="J17" s="11" t="n">
        <v>1250</v>
      </c>
      <c r="K17" s="11" t="s">
        <v>30</v>
      </c>
      <c r="L17" s="11" t="s">
        <v>322</v>
      </c>
      <c r="M17" s="24" t="n">
        <v>45793</v>
      </c>
      <c r="N17" s="25" t="n">
        <f aca="false">INT((M17-D17)/365.25)</f>
        <v>19</v>
      </c>
      <c r="O17" s="12" t="s">
        <v>22</v>
      </c>
    </row>
    <row r="18" customFormat="false" ht="15" hidden="false" customHeight="false" outlineLevel="0" collapsed="false">
      <c r="A18" s="51" t="n">
        <v>14</v>
      </c>
      <c r="B18" s="10" t="n">
        <v>869500</v>
      </c>
      <c r="C18" s="11" t="s">
        <v>1436</v>
      </c>
      <c r="D18" s="12" t="n">
        <v>34839</v>
      </c>
      <c r="E18" s="11"/>
      <c r="F18" s="11"/>
      <c r="G18" s="11" t="s">
        <v>1437</v>
      </c>
      <c r="H18" s="11" t="n">
        <v>9957445</v>
      </c>
      <c r="I18" s="11" t="n">
        <v>7117171</v>
      </c>
      <c r="J18" s="11" t="n">
        <v>5293</v>
      </c>
      <c r="K18" s="11" t="s">
        <v>30</v>
      </c>
      <c r="L18" s="11" t="s">
        <v>322</v>
      </c>
      <c r="M18" s="24" t="n">
        <v>45793</v>
      </c>
      <c r="N18" s="25" t="n">
        <f aca="false">INT((M18-D18)/365.25)</f>
        <v>29</v>
      </c>
      <c r="O18" s="12" t="s">
        <v>22</v>
      </c>
    </row>
    <row r="19" customFormat="false" ht="15" hidden="false" customHeight="false" outlineLevel="0" collapsed="false">
      <c r="A19" s="51" t="n">
        <v>15</v>
      </c>
      <c r="B19" s="10" t="n">
        <v>869501</v>
      </c>
      <c r="C19" s="11" t="s">
        <v>1438</v>
      </c>
      <c r="D19" s="12" t="n">
        <v>35660</v>
      </c>
      <c r="E19" s="11"/>
      <c r="F19" s="11"/>
      <c r="G19" s="11" t="s">
        <v>1439</v>
      </c>
      <c r="H19" s="11" t="n">
        <v>7941157</v>
      </c>
      <c r="I19" s="11" t="n">
        <v>404936</v>
      </c>
      <c r="J19" s="11" t="n">
        <v>6282</v>
      </c>
      <c r="K19" s="11" t="s">
        <v>30</v>
      </c>
      <c r="L19" s="11" t="s">
        <v>322</v>
      </c>
      <c r="M19" s="24" t="n">
        <v>45793</v>
      </c>
      <c r="N19" s="25" t="n">
        <f aca="false">INT((M19-D19)/365.25)</f>
        <v>27</v>
      </c>
      <c r="O19" s="12" t="s">
        <v>22</v>
      </c>
      <c r="P19" s="12" t="s">
        <v>1440</v>
      </c>
    </row>
    <row r="20" customFormat="false" ht="15" hidden="false" customHeight="false" outlineLevel="0" collapsed="false">
      <c r="A20" s="51" t="n">
        <v>16</v>
      </c>
      <c r="B20" s="10" t="n">
        <v>839709</v>
      </c>
      <c r="C20" s="11" t="s">
        <v>1441</v>
      </c>
      <c r="D20" s="12" t="n">
        <v>31363</v>
      </c>
      <c r="E20" s="11"/>
      <c r="F20" s="11"/>
      <c r="G20" s="11" t="s">
        <v>1442</v>
      </c>
      <c r="H20" s="11" t="n">
        <v>4945099</v>
      </c>
      <c r="I20" s="11" t="n">
        <v>9672280</v>
      </c>
      <c r="J20" s="11" t="n">
        <v>253</v>
      </c>
      <c r="K20" s="11" t="s">
        <v>30</v>
      </c>
      <c r="L20" s="11" t="s">
        <v>322</v>
      </c>
      <c r="M20" s="24" t="n">
        <v>45793</v>
      </c>
      <c r="N20" s="25" t="n">
        <f aca="false">INT((M20-D20)/365.25)</f>
        <v>39</v>
      </c>
      <c r="O20" s="12" t="s">
        <v>22</v>
      </c>
    </row>
    <row r="21" customFormat="false" ht="15" hidden="false" customHeight="false" outlineLevel="0" collapsed="false">
      <c r="A21" s="51" t="n">
        <v>17</v>
      </c>
      <c r="B21" s="10" t="n">
        <v>860667</v>
      </c>
      <c r="C21" s="11" t="s">
        <v>1443</v>
      </c>
      <c r="D21" s="12" t="n">
        <v>34795</v>
      </c>
      <c r="E21" s="11"/>
      <c r="F21" s="11"/>
      <c r="G21" s="11" t="s">
        <v>1262</v>
      </c>
      <c r="H21" s="11" t="n">
        <v>7862658</v>
      </c>
      <c r="I21" s="11" t="n">
        <v>7082035</v>
      </c>
      <c r="J21" s="11" t="n">
        <v>1288</v>
      </c>
      <c r="K21" s="11" t="s">
        <v>30</v>
      </c>
      <c r="L21" s="11" t="s">
        <v>322</v>
      </c>
      <c r="M21" s="24" t="n">
        <v>45793</v>
      </c>
      <c r="N21" s="25" t="n">
        <f aca="false">INT((M21-D21)/365.25)</f>
        <v>30</v>
      </c>
      <c r="O21" s="12" t="s">
        <v>22</v>
      </c>
    </row>
    <row r="22" customFormat="false" ht="15" hidden="false" customHeight="false" outlineLevel="0" collapsed="false">
      <c r="A22" s="51" t="n">
        <v>18</v>
      </c>
      <c r="B22" s="10" t="n">
        <v>869502</v>
      </c>
      <c r="C22" s="11" t="s">
        <v>1444</v>
      </c>
      <c r="D22" s="12" t="n">
        <v>38080</v>
      </c>
      <c r="E22" s="11"/>
      <c r="F22" s="11"/>
      <c r="G22" s="11" t="s">
        <v>1445</v>
      </c>
      <c r="H22" s="11" t="n">
        <v>9186956</v>
      </c>
      <c r="I22" s="11" t="n">
        <v>786939</v>
      </c>
      <c r="J22" s="11" t="n">
        <v>4270</v>
      </c>
      <c r="K22" s="11" t="s">
        <v>30</v>
      </c>
      <c r="L22" s="11" t="s">
        <v>322</v>
      </c>
      <c r="M22" s="24" t="n">
        <v>45793</v>
      </c>
      <c r="N22" s="25" t="n">
        <f aca="false">INT((M22-D22)/365.25)</f>
        <v>21</v>
      </c>
      <c r="O22" s="12" t="s">
        <v>22</v>
      </c>
    </row>
    <row r="23" customFormat="false" ht="15" hidden="false" customHeight="false" outlineLevel="0" collapsed="false">
      <c r="A23" s="51" t="n">
        <v>19</v>
      </c>
      <c r="B23" s="10" t="n">
        <v>869504</v>
      </c>
      <c r="C23" s="11" t="s">
        <v>1446</v>
      </c>
      <c r="D23" s="12" t="n">
        <v>32462</v>
      </c>
      <c r="E23" s="11"/>
      <c r="F23" s="11"/>
      <c r="G23" s="11" t="s">
        <v>1447</v>
      </c>
      <c r="H23" s="11" t="n">
        <v>6329616</v>
      </c>
      <c r="I23" s="11" t="n">
        <v>61034</v>
      </c>
      <c r="J23" s="11" t="n">
        <v>54</v>
      </c>
      <c r="K23" s="11" t="s">
        <v>30</v>
      </c>
      <c r="L23" s="11" t="s">
        <v>322</v>
      </c>
      <c r="M23" s="24" t="n">
        <v>45793</v>
      </c>
      <c r="N23" s="25" t="n">
        <f aca="false">INT((M23-D23)/365.25)</f>
        <v>36</v>
      </c>
      <c r="O23" s="12" t="s">
        <v>22</v>
      </c>
    </row>
    <row r="24" customFormat="false" ht="15" hidden="false" customHeight="false" outlineLevel="0" collapsed="false">
      <c r="A24" s="51" t="n">
        <v>20</v>
      </c>
      <c r="B24" s="10" t="n">
        <v>525355</v>
      </c>
      <c r="C24" s="11" t="s">
        <v>1448</v>
      </c>
      <c r="D24" s="12" t="n">
        <v>29079</v>
      </c>
      <c r="E24" s="11"/>
      <c r="F24" s="11"/>
      <c r="G24" s="11" t="s">
        <v>1449</v>
      </c>
      <c r="H24" s="11" t="n">
        <v>3523518</v>
      </c>
      <c r="I24" s="11" t="n">
        <v>10618</v>
      </c>
      <c r="J24" s="11" t="n">
        <v>30</v>
      </c>
      <c r="K24" s="11" t="s">
        <v>30</v>
      </c>
      <c r="L24" s="11" t="s">
        <v>322</v>
      </c>
      <c r="M24" s="24" t="n">
        <v>45793</v>
      </c>
      <c r="N24" s="25" t="n">
        <f aca="false">INT((M24-D24)/365.25)</f>
        <v>45</v>
      </c>
      <c r="O24" s="12" t="s">
        <v>22</v>
      </c>
    </row>
    <row r="25" customFormat="false" ht="15" hidden="false" customHeight="false" outlineLevel="0" collapsed="false">
      <c r="A25" s="51" t="n">
        <v>21</v>
      </c>
      <c r="B25" s="52" t="s">
        <v>1450</v>
      </c>
      <c r="C25" s="53" t="s">
        <v>486</v>
      </c>
      <c r="D25" s="12" t="n">
        <v>35207</v>
      </c>
      <c r="E25" s="11"/>
      <c r="F25" s="11"/>
      <c r="G25" s="11" t="s">
        <v>487</v>
      </c>
      <c r="H25" s="11" t="n">
        <v>7903741</v>
      </c>
      <c r="I25" s="11" t="n">
        <v>34</v>
      </c>
      <c r="J25" s="11" t="n">
        <v>75</v>
      </c>
      <c r="K25" s="11" t="s">
        <v>22</v>
      </c>
      <c r="L25" s="11" t="s">
        <v>322</v>
      </c>
      <c r="M25" s="24" t="n">
        <v>45793</v>
      </c>
      <c r="N25" s="25" t="n">
        <f aca="false">INT((M25-D25)/365.25)</f>
        <v>28</v>
      </c>
      <c r="O25" s="12" t="s">
        <v>22</v>
      </c>
    </row>
    <row r="26" customFormat="false" ht="15" hidden="false" customHeight="false" outlineLevel="0" collapsed="false">
      <c r="A26" s="51" t="n">
        <v>22</v>
      </c>
      <c r="B26" s="10" t="n">
        <v>869505</v>
      </c>
      <c r="C26" s="11" t="s">
        <v>1451</v>
      </c>
      <c r="D26" s="12" t="n">
        <v>39117</v>
      </c>
      <c r="E26" s="11"/>
      <c r="F26" s="11"/>
      <c r="G26" s="11" t="s">
        <v>1452</v>
      </c>
      <c r="H26" s="11" t="n">
        <v>9199422</v>
      </c>
      <c r="I26" s="11" t="n">
        <v>878967</v>
      </c>
      <c r="J26" s="11" t="n">
        <v>6211</v>
      </c>
      <c r="K26" s="11" t="s">
        <v>30</v>
      </c>
      <c r="L26" s="11" t="s">
        <v>322</v>
      </c>
      <c r="M26" s="24" t="n">
        <v>45793</v>
      </c>
      <c r="N26" s="25" t="n">
        <f aca="false">INT((M26-D26)/365.25)</f>
        <v>18</v>
      </c>
      <c r="O26" s="12" t="s">
        <v>22</v>
      </c>
    </row>
    <row r="27" customFormat="false" ht="15" hidden="false" customHeight="false" outlineLevel="0" collapsed="false">
      <c r="A27" s="51" t="n">
        <v>23</v>
      </c>
      <c r="B27" s="10" t="n">
        <v>869506</v>
      </c>
      <c r="C27" s="11" t="s">
        <v>1453</v>
      </c>
      <c r="D27" s="12" t="n">
        <v>38717</v>
      </c>
      <c r="E27" s="11"/>
      <c r="F27" s="11"/>
      <c r="G27" s="11" t="s">
        <v>1454</v>
      </c>
      <c r="H27" s="11" t="n">
        <v>8686469</v>
      </c>
      <c r="I27" s="11" t="n">
        <v>540470</v>
      </c>
      <c r="J27" s="11" t="n">
        <v>3270</v>
      </c>
      <c r="K27" s="11" t="s">
        <v>30</v>
      </c>
      <c r="L27" s="11" t="s">
        <v>322</v>
      </c>
      <c r="M27" s="24" t="n">
        <v>45793</v>
      </c>
      <c r="N27" s="25" t="n">
        <f aca="false">INT((M27-D27)/365.25)</f>
        <v>19</v>
      </c>
      <c r="O27" s="12" t="s">
        <v>22</v>
      </c>
    </row>
    <row r="28" customFormat="false" ht="15" hidden="false" customHeight="false" outlineLevel="0" collapsed="false">
      <c r="A28" s="51" t="n">
        <v>24</v>
      </c>
      <c r="B28" s="10" t="n">
        <v>868317</v>
      </c>
      <c r="C28" s="11" t="s">
        <v>1455</v>
      </c>
      <c r="D28" s="12" t="n">
        <v>36189</v>
      </c>
      <c r="E28" s="11"/>
      <c r="F28" s="11"/>
      <c r="G28" s="11" t="s">
        <v>1061</v>
      </c>
      <c r="H28" s="11" t="n">
        <v>8214215</v>
      </c>
      <c r="I28" s="11" t="n">
        <v>7039048</v>
      </c>
      <c r="J28" s="11" t="n">
        <v>6205</v>
      </c>
      <c r="K28" s="11" t="s">
        <v>30</v>
      </c>
      <c r="L28" s="11" t="s">
        <v>322</v>
      </c>
      <c r="M28" s="24" t="n">
        <v>45793</v>
      </c>
      <c r="N28" s="25" t="n">
        <f aca="false">INT((M28-D28)/365.25)</f>
        <v>26</v>
      </c>
      <c r="O28" s="12" t="s">
        <v>22</v>
      </c>
    </row>
    <row r="29" customFormat="false" ht="15" hidden="false" customHeight="false" outlineLevel="0" collapsed="false">
      <c r="A29" s="51" t="n">
        <v>25</v>
      </c>
      <c r="B29" s="10" t="n">
        <v>844848</v>
      </c>
      <c r="C29" s="11" t="s">
        <v>1456</v>
      </c>
      <c r="D29" s="12" t="n">
        <v>38108</v>
      </c>
      <c r="E29" s="11"/>
      <c r="F29" s="11"/>
      <c r="G29" s="11" t="s">
        <v>1457</v>
      </c>
      <c r="H29" s="11" t="n">
        <v>9205331</v>
      </c>
      <c r="I29" s="11" t="n">
        <v>779153</v>
      </c>
      <c r="J29" s="11" t="n">
        <v>1208</v>
      </c>
      <c r="K29" s="11" t="s">
        <v>22</v>
      </c>
      <c r="L29" s="11" t="s">
        <v>322</v>
      </c>
      <c r="M29" s="24" t="n">
        <v>45793</v>
      </c>
      <c r="N29" s="25" t="n">
        <f aca="false">INT((M29-D29)/365.25)</f>
        <v>21</v>
      </c>
      <c r="O29" s="12" t="s">
        <v>22</v>
      </c>
    </row>
    <row r="30" customFormat="false" ht="15" hidden="false" customHeight="false" outlineLevel="0" collapsed="false">
      <c r="A30" s="51" t="n">
        <v>26</v>
      </c>
      <c r="B30" s="10" t="n">
        <v>809792</v>
      </c>
      <c r="C30" s="11" t="s">
        <v>1458</v>
      </c>
      <c r="D30" s="12" t="n">
        <v>31508</v>
      </c>
      <c r="E30" s="11"/>
      <c r="F30" s="11"/>
      <c r="G30" s="11" t="s">
        <v>1459</v>
      </c>
      <c r="H30" s="11" t="n">
        <v>5374100</v>
      </c>
      <c r="I30" s="11" t="n">
        <v>91945</v>
      </c>
      <c r="J30" s="11" t="n">
        <v>59</v>
      </c>
      <c r="K30" s="11" t="s">
        <v>30</v>
      </c>
      <c r="L30" s="11" t="s">
        <v>322</v>
      </c>
      <c r="M30" s="24" t="n">
        <v>45793</v>
      </c>
      <c r="N30" s="25" t="n">
        <f aca="false">INT((M30-D30)/365.25)</f>
        <v>39</v>
      </c>
      <c r="O30" s="12" t="s">
        <v>22</v>
      </c>
    </row>
    <row r="31" customFormat="false" ht="15" hidden="false" customHeight="false" outlineLevel="0" collapsed="false">
      <c r="A31" s="51" t="n">
        <v>27</v>
      </c>
      <c r="B31" s="10" t="n">
        <v>869507</v>
      </c>
      <c r="C31" s="11" t="s">
        <v>1460</v>
      </c>
      <c r="D31" s="12" t="n">
        <v>34114</v>
      </c>
      <c r="E31" s="11"/>
      <c r="F31" s="11"/>
      <c r="G31" s="11" t="s">
        <v>1461</v>
      </c>
      <c r="H31" s="34" t="s">
        <v>1021</v>
      </c>
      <c r="I31" s="11" t="n">
        <v>6144345</v>
      </c>
      <c r="J31" s="11" t="n">
        <v>3251</v>
      </c>
      <c r="K31" s="11" t="s">
        <v>30</v>
      </c>
      <c r="L31" s="11" t="s">
        <v>322</v>
      </c>
      <c r="M31" s="24" t="n">
        <v>45793</v>
      </c>
      <c r="N31" s="25" t="n">
        <f aca="false">INT((M31-D31)/365.25)</f>
        <v>31</v>
      </c>
      <c r="O31" s="12" t="s">
        <v>22</v>
      </c>
    </row>
    <row r="32" customFormat="false" ht="15" hidden="false" customHeight="false" outlineLevel="0" collapsed="false">
      <c r="A32" s="51" t="n">
        <v>28</v>
      </c>
      <c r="B32" s="10" t="n">
        <v>869508</v>
      </c>
      <c r="C32" s="11" t="s">
        <v>1462</v>
      </c>
      <c r="D32" s="12" t="n">
        <v>37840</v>
      </c>
      <c r="E32" s="11"/>
      <c r="F32" s="11"/>
      <c r="G32" s="11" t="s">
        <v>1463</v>
      </c>
      <c r="H32" s="11" t="n">
        <v>9565298</v>
      </c>
      <c r="I32" s="11" t="n">
        <v>585189</v>
      </c>
      <c r="J32" s="11" t="n">
        <v>1297</v>
      </c>
      <c r="K32" s="11" t="s">
        <v>30</v>
      </c>
      <c r="L32" s="11" t="s">
        <v>322</v>
      </c>
      <c r="M32" s="24" t="n">
        <v>45793</v>
      </c>
      <c r="N32" s="25" t="n">
        <f aca="false">INT((M32-D32)/365.25)</f>
        <v>21</v>
      </c>
      <c r="O32" s="12" t="s">
        <v>22</v>
      </c>
    </row>
    <row r="33" customFormat="false" ht="15" hidden="false" customHeight="false" outlineLevel="0" collapsed="false">
      <c r="A33" s="51" t="n">
        <v>29</v>
      </c>
      <c r="B33" s="10" t="n">
        <v>869509</v>
      </c>
      <c r="C33" s="11" t="s">
        <v>1464</v>
      </c>
      <c r="D33" s="12" t="n">
        <v>35174</v>
      </c>
      <c r="E33" s="11"/>
      <c r="F33" s="11"/>
      <c r="G33" s="11" t="s">
        <v>1465</v>
      </c>
      <c r="H33" s="11" t="n">
        <v>7044746</v>
      </c>
      <c r="I33" s="11" t="n">
        <v>283089</v>
      </c>
      <c r="J33" s="11" t="n">
        <v>1210</v>
      </c>
      <c r="K33" s="11" t="s">
        <v>30</v>
      </c>
      <c r="L33" s="11" t="s">
        <v>322</v>
      </c>
      <c r="M33" s="24" t="n">
        <v>45793</v>
      </c>
      <c r="N33" s="25" t="n">
        <f aca="false">INT((M33-D33)/365.25)</f>
        <v>29</v>
      </c>
      <c r="O33" s="12" t="s">
        <v>22</v>
      </c>
    </row>
    <row r="34" customFormat="false" ht="15" hidden="false" customHeight="false" outlineLevel="0" collapsed="false">
      <c r="A34" s="51" t="n">
        <v>30</v>
      </c>
      <c r="B34" s="10" t="n">
        <v>869510</v>
      </c>
      <c r="C34" s="11" t="s">
        <v>1466</v>
      </c>
      <c r="D34" s="12" t="n">
        <v>36643</v>
      </c>
      <c r="E34" s="11"/>
      <c r="F34" s="11"/>
      <c r="G34" s="11" t="s">
        <v>1467</v>
      </c>
      <c r="H34" s="11" t="n">
        <v>9111860</v>
      </c>
      <c r="I34" s="11" t="n">
        <v>897784</v>
      </c>
      <c r="J34" s="11" t="n">
        <v>8202</v>
      </c>
      <c r="K34" s="11" t="s">
        <v>30</v>
      </c>
      <c r="L34" s="11" t="s">
        <v>322</v>
      </c>
      <c r="M34" s="24" t="n">
        <v>45793</v>
      </c>
      <c r="N34" s="25" t="n">
        <f aca="false">INT((M34-D34)/365.25)</f>
        <v>25</v>
      </c>
      <c r="O34" s="12" t="s">
        <v>22</v>
      </c>
    </row>
  </sheetData>
  <mergeCells count="1">
    <mergeCell ref="A1:O2"/>
  </mergeCells>
  <conditionalFormatting sqref="N5:N34">
    <cfRule type="colorScale" priority="2">
      <colorScale>
        <cfvo type="num" val="17"/>
        <cfvo type="num" val="18"/>
        <color rgb="FFFF0000"/>
        <color rgb="FF92D050"/>
      </colorScale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true"/>
  </sheetPr>
  <dimension ref="A1:Q51"/>
  <sheetViews>
    <sheetView showFormulas="false" showGridLines="true" showRowColHeaders="true" showZeros="true" rightToLeft="false" tabSelected="false" showOutlineSymbols="true" defaultGridColor="true" view="normal" topLeftCell="A22" colorId="64" zoomScale="90" zoomScaleNormal="90" zoomScalePageLayoutView="100" workbookViewId="0">
      <selection pane="topLeft" activeCell="B24" activeCellId="0" sqref="B24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6.86"/>
    <col collapsed="false" customWidth="true" hidden="false" outlineLevel="0" max="3" min="3" style="0" width="36.29"/>
    <col collapsed="false" customWidth="true" hidden="false" outlineLevel="0" max="4" min="4" style="0" width="9"/>
    <col collapsed="false" customWidth="true" hidden="false" outlineLevel="0" max="5" min="5" style="0" width="15.86"/>
    <col collapsed="false" customWidth="true" hidden="false" outlineLevel="0" max="6" min="6" style="0" width="6.43"/>
    <col collapsed="false" customWidth="true" hidden="false" outlineLevel="0" max="8" min="7" style="0" width="13"/>
    <col collapsed="false" customWidth="true" hidden="false" outlineLevel="0" max="10" min="10" style="0" width="5"/>
    <col collapsed="false" customWidth="true" hidden="false" outlineLevel="0" max="11" min="11" style="0" width="7.57"/>
    <col collapsed="false" customWidth="true" hidden="false" outlineLevel="0" max="12" min="12" style="0" width="11.57"/>
    <col collapsed="false" customWidth="true" hidden="false" outlineLevel="0" max="13" min="13" style="0" width="16.86"/>
    <col collapsed="false" customWidth="true" hidden="false" outlineLevel="0" max="14" min="14" style="0" width="9.14"/>
    <col collapsed="false" customWidth="true" hidden="false" outlineLevel="0" max="15" min="15" style="0" width="5.71"/>
    <col collapsed="false" customWidth="true" hidden="false" outlineLevel="0" max="16" min="16" style="0" width="6.29"/>
    <col collapsed="false" customWidth="true" hidden="true" outlineLevel="0" max="17" min="17" style="0" width="10.43"/>
  </cols>
  <sheetData>
    <row r="1" customFormat="false" ht="15" hidden="false" customHeight="false" outlineLevel="0" collapsed="false">
      <c r="A1" s="18" t="s">
        <v>986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customFormat="false" ht="15" hidden="false" customHeight="false" outlineLevel="0" collapsed="false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customFormat="false" ht="15" hidden="false" customHeight="false" outlineLevel="0" collapsed="false">
      <c r="A3" s="43"/>
      <c r="B3" s="44" t="s">
        <v>1</v>
      </c>
      <c r="C3" s="44" t="s">
        <v>2</v>
      </c>
      <c r="D3" s="44" t="s">
        <v>3</v>
      </c>
      <c r="E3" s="44" t="s">
        <v>4</v>
      </c>
      <c r="F3" s="44" t="s">
        <v>5</v>
      </c>
      <c r="G3" s="45" t="s">
        <v>6</v>
      </c>
      <c r="H3" s="44" t="s">
        <v>7</v>
      </c>
      <c r="I3" s="44" t="s">
        <v>8</v>
      </c>
      <c r="J3" s="44" t="s">
        <v>9</v>
      </c>
      <c r="K3" s="44" t="s">
        <v>10</v>
      </c>
      <c r="L3" s="44" t="s">
        <v>1101</v>
      </c>
      <c r="M3" s="44" t="s">
        <v>11</v>
      </c>
      <c r="N3" s="44" t="s">
        <v>12</v>
      </c>
      <c r="O3" s="44" t="s">
        <v>13</v>
      </c>
      <c r="P3" s="44" t="s">
        <v>16</v>
      </c>
    </row>
    <row r="4" customFormat="false" ht="15" hidden="false" customHeight="false" outlineLevel="0" collapsed="false">
      <c r="A4" s="46"/>
      <c r="B4" s="47"/>
      <c r="C4" s="44" t="s">
        <v>987</v>
      </c>
      <c r="D4" s="48"/>
      <c r="E4" s="47"/>
      <c r="F4" s="47"/>
      <c r="G4" s="47"/>
      <c r="H4" s="47"/>
      <c r="I4" s="47"/>
      <c r="J4" s="47"/>
      <c r="K4" s="47"/>
      <c r="L4" s="47"/>
      <c r="M4" s="49"/>
      <c r="N4" s="50"/>
      <c r="O4" s="44"/>
      <c r="P4" s="44"/>
    </row>
    <row r="5" customFormat="false" ht="15" hidden="false" customHeight="false" outlineLevel="0" collapsed="false">
      <c r="A5" s="51" t="n">
        <v>1</v>
      </c>
      <c r="B5" s="10" t="n">
        <v>873303</v>
      </c>
      <c r="C5" s="11" t="s">
        <v>1468</v>
      </c>
      <c r="D5" s="12" t="n">
        <v>32170</v>
      </c>
      <c r="E5" s="11" t="s">
        <v>1469</v>
      </c>
      <c r="F5" s="11" t="s">
        <v>151</v>
      </c>
      <c r="G5" s="11" t="s">
        <v>1470</v>
      </c>
      <c r="H5" s="11" t="n">
        <v>8042544</v>
      </c>
      <c r="I5" s="11" t="n">
        <v>35821</v>
      </c>
      <c r="J5" s="11" t="n">
        <v>85</v>
      </c>
      <c r="K5" s="11" t="s">
        <v>30</v>
      </c>
      <c r="L5" s="11" t="n">
        <v>81985851827</v>
      </c>
      <c r="M5" s="11" t="s">
        <v>1471</v>
      </c>
      <c r="N5" s="24" t="n">
        <v>45850</v>
      </c>
      <c r="O5" s="25" t="n">
        <f aca="false">INT((N5-D5)/365.25)</f>
        <v>37</v>
      </c>
      <c r="P5" s="12" t="s">
        <v>22</v>
      </c>
    </row>
    <row r="6" customFormat="false" ht="15" hidden="false" customHeight="false" outlineLevel="0" collapsed="false">
      <c r="A6" s="51" t="n">
        <v>2</v>
      </c>
      <c r="B6" s="10" t="n">
        <v>869596</v>
      </c>
      <c r="C6" s="11" t="s">
        <v>993</v>
      </c>
      <c r="D6" s="12" t="n">
        <v>29109</v>
      </c>
      <c r="E6" s="11" t="s">
        <v>1469</v>
      </c>
      <c r="F6" s="11" t="s">
        <v>151</v>
      </c>
      <c r="G6" s="11" t="s">
        <v>994</v>
      </c>
      <c r="H6" s="11" t="n">
        <v>3403421</v>
      </c>
      <c r="I6" s="11" t="n">
        <v>7353213</v>
      </c>
      <c r="J6" s="11" t="n">
        <v>60</v>
      </c>
      <c r="K6" s="11" t="s">
        <v>30</v>
      </c>
      <c r="L6" s="11" t="n">
        <v>91991293235</v>
      </c>
      <c r="M6" s="11" t="s">
        <v>1471</v>
      </c>
      <c r="N6" s="24" t="n">
        <v>45850</v>
      </c>
      <c r="O6" s="25" t="n">
        <f aca="false">INT((N6-D6)/365.25)</f>
        <v>45</v>
      </c>
      <c r="P6" s="12" t="s">
        <v>22</v>
      </c>
    </row>
    <row r="7" customFormat="false" ht="15" hidden="false" customHeight="false" outlineLevel="0" collapsed="false">
      <c r="A7" s="51" t="n">
        <v>3</v>
      </c>
      <c r="B7" s="10" t="n">
        <v>873314</v>
      </c>
      <c r="C7" s="11" t="s">
        <v>1472</v>
      </c>
      <c r="D7" s="12" t="n">
        <v>35965</v>
      </c>
      <c r="E7" s="11" t="s">
        <v>1469</v>
      </c>
      <c r="F7" s="11" t="s">
        <v>151</v>
      </c>
      <c r="G7" s="11" t="s">
        <v>1473</v>
      </c>
      <c r="H7" s="11" t="n">
        <v>12138462</v>
      </c>
      <c r="I7" s="11" t="n">
        <v>679144</v>
      </c>
      <c r="J7" s="11" t="n">
        <v>7494</v>
      </c>
      <c r="K7" s="11" t="s">
        <v>22</v>
      </c>
      <c r="L7" s="11" t="n">
        <v>81992442195</v>
      </c>
      <c r="M7" s="11" t="s">
        <v>1471</v>
      </c>
      <c r="N7" s="24" t="n">
        <v>45850</v>
      </c>
      <c r="O7" s="25" t="n">
        <f aca="false">INT((N7-D7)/365.25)</f>
        <v>27</v>
      </c>
      <c r="P7" s="12" t="s">
        <v>22</v>
      </c>
    </row>
    <row r="8" customFormat="false" ht="15" hidden="false" customHeight="false" outlineLevel="0" collapsed="false">
      <c r="A8" s="51" t="n">
        <v>4</v>
      </c>
      <c r="B8" s="10" t="n">
        <v>849328</v>
      </c>
      <c r="C8" s="34" t="s">
        <v>995</v>
      </c>
      <c r="D8" s="12" t="n">
        <v>33301</v>
      </c>
      <c r="E8" s="11" t="s">
        <v>1469</v>
      </c>
      <c r="F8" s="11" t="s">
        <v>151</v>
      </c>
      <c r="G8" s="11" t="s">
        <v>996</v>
      </c>
      <c r="H8" s="11" t="s">
        <v>1474</v>
      </c>
      <c r="I8" s="11" t="n">
        <v>32738</v>
      </c>
      <c r="J8" s="11" t="n">
        <v>33</v>
      </c>
      <c r="K8" s="11" t="s">
        <v>22</v>
      </c>
      <c r="L8" s="11" t="n">
        <v>34984207377</v>
      </c>
      <c r="M8" s="11" t="s">
        <v>1471</v>
      </c>
      <c r="N8" s="24" t="n">
        <v>45850</v>
      </c>
      <c r="O8" s="25" t="n">
        <f aca="false">INT((N8-D8)/365.25)</f>
        <v>34</v>
      </c>
      <c r="P8" s="12" t="s">
        <v>22</v>
      </c>
    </row>
    <row r="9" customFormat="false" ht="15" hidden="false" customHeight="false" outlineLevel="0" collapsed="false">
      <c r="A9" s="51" t="n">
        <v>5</v>
      </c>
      <c r="B9" s="10" t="n">
        <v>868309</v>
      </c>
      <c r="C9" s="34" t="s">
        <v>998</v>
      </c>
      <c r="D9" s="12" t="n">
        <v>34234</v>
      </c>
      <c r="E9" s="11" t="s">
        <v>1469</v>
      </c>
      <c r="F9" s="11" t="s">
        <v>151</v>
      </c>
      <c r="G9" s="11" t="s">
        <v>999</v>
      </c>
      <c r="H9" s="11" t="n">
        <v>8703353</v>
      </c>
      <c r="I9" s="11" t="n">
        <v>47438</v>
      </c>
      <c r="J9" s="11" t="n">
        <v>114</v>
      </c>
      <c r="K9" s="11" t="s">
        <v>30</v>
      </c>
      <c r="L9" s="11" t="n">
        <v>81999790485</v>
      </c>
      <c r="M9" s="11" t="s">
        <v>1471</v>
      </c>
      <c r="N9" s="24" t="n">
        <v>45850</v>
      </c>
      <c r="O9" s="25" t="n">
        <f aca="false">INT((N9-D9)/365.25)</f>
        <v>31</v>
      </c>
      <c r="P9" s="12" t="s">
        <v>22</v>
      </c>
    </row>
    <row r="10" customFormat="false" ht="15" hidden="false" customHeight="false" outlineLevel="0" collapsed="false">
      <c r="A10" s="51" t="n">
        <v>6</v>
      </c>
      <c r="B10" s="10" t="n">
        <v>873315</v>
      </c>
      <c r="C10" s="34" t="s">
        <v>1475</v>
      </c>
      <c r="D10" s="12" t="n">
        <v>37900</v>
      </c>
      <c r="E10" s="11" t="s">
        <v>1469</v>
      </c>
      <c r="F10" s="11" t="s">
        <v>151</v>
      </c>
      <c r="G10" s="11" t="s">
        <v>1476</v>
      </c>
      <c r="H10" s="11" t="n">
        <v>10456104</v>
      </c>
      <c r="I10" s="11" t="n">
        <v>1735086</v>
      </c>
      <c r="J10" s="11" t="n">
        <v>8430</v>
      </c>
      <c r="K10" s="11" t="s">
        <v>22</v>
      </c>
      <c r="L10" s="11" t="n">
        <v>81993637309</v>
      </c>
      <c r="M10" s="11" t="s">
        <v>1471</v>
      </c>
      <c r="N10" s="24" t="n">
        <v>45850</v>
      </c>
      <c r="O10" s="25" t="n">
        <f aca="false">INT((N10-D10)/365.25)</f>
        <v>21</v>
      </c>
      <c r="P10" s="12" t="s">
        <v>22</v>
      </c>
    </row>
    <row r="11" customFormat="false" ht="15" hidden="false" customHeight="false" outlineLevel="0" collapsed="false">
      <c r="A11" s="51" t="n">
        <v>7</v>
      </c>
      <c r="B11" s="10" t="n">
        <v>873317</v>
      </c>
      <c r="C11" s="34" t="s">
        <v>1477</v>
      </c>
      <c r="D11" s="12" t="n">
        <v>35815</v>
      </c>
      <c r="E11" s="11" t="s">
        <v>1469</v>
      </c>
      <c r="F11" s="11" t="s">
        <v>151</v>
      </c>
      <c r="G11" s="11" t="s">
        <v>1478</v>
      </c>
      <c r="H11" s="11" t="n">
        <v>9422633</v>
      </c>
      <c r="I11" s="11" t="n">
        <v>7117890</v>
      </c>
      <c r="J11" s="11" t="n">
        <v>60</v>
      </c>
      <c r="K11" s="11" t="s">
        <v>2</v>
      </c>
      <c r="L11" s="11" t="n">
        <v>81986740104</v>
      </c>
      <c r="M11" s="11" t="s">
        <v>1471</v>
      </c>
      <c r="N11" s="24" t="n">
        <v>45850</v>
      </c>
      <c r="O11" s="25" t="n">
        <f aca="false">INT((N11-D11)/365.25)</f>
        <v>27</v>
      </c>
      <c r="P11" s="12" t="s">
        <v>22</v>
      </c>
    </row>
    <row r="12" customFormat="false" ht="15" hidden="false" customHeight="false" outlineLevel="0" collapsed="false">
      <c r="A12" s="51" t="n">
        <v>8</v>
      </c>
      <c r="B12" s="10" t="n">
        <v>868303</v>
      </c>
      <c r="C12" s="34" t="s">
        <v>1006</v>
      </c>
      <c r="D12" s="12" t="n">
        <v>32427</v>
      </c>
      <c r="E12" s="11" t="s">
        <v>1469</v>
      </c>
      <c r="F12" s="11" t="s">
        <v>151</v>
      </c>
      <c r="G12" s="11" t="s">
        <v>1007</v>
      </c>
      <c r="H12" s="11" t="n">
        <v>8044063</v>
      </c>
      <c r="I12" s="11" t="n">
        <v>65097</v>
      </c>
      <c r="J12" s="11" t="n">
        <v>75</v>
      </c>
      <c r="K12" s="11" t="s">
        <v>30</v>
      </c>
      <c r="L12" s="11" t="n">
        <v>81994110601</v>
      </c>
      <c r="M12" s="11" t="s">
        <v>1471</v>
      </c>
      <c r="N12" s="24" t="n">
        <v>45850</v>
      </c>
      <c r="O12" s="25" t="n">
        <f aca="false">INT((N12-D12)/365.25)</f>
        <v>36</v>
      </c>
      <c r="P12" s="12" t="s">
        <v>22</v>
      </c>
    </row>
    <row r="13" customFormat="false" ht="15" hidden="false" customHeight="false" outlineLevel="0" collapsed="false">
      <c r="A13" s="51" t="n">
        <v>9</v>
      </c>
      <c r="B13" s="10" t="n">
        <v>873319</v>
      </c>
      <c r="C13" s="11" t="s">
        <v>1479</v>
      </c>
      <c r="D13" s="12" t="n">
        <v>38489</v>
      </c>
      <c r="E13" s="11" t="s">
        <v>1469</v>
      </c>
      <c r="F13" s="11" t="s">
        <v>151</v>
      </c>
      <c r="G13" s="11" t="s">
        <v>1480</v>
      </c>
      <c r="H13" s="11" t="n">
        <v>8385511</v>
      </c>
      <c r="I13" s="11" t="n">
        <v>892332</v>
      </c>
      <c r="J13" s="11" t="n">
        <v>8243</v>
      </c>
      <c r="K13" s="11" t="s">
        <v>2</v>
      </c>
      <c r="L13" s="11" t="n">
        <v>91981070351</v>
      </c>
      <c r="M13" s="11" t="s">
        <v>1471</v>
      </c>
      <c r="N13" s="24" t="n">
        <v>45850</v>
      </c>
      <c r="O13" s="25" t="n">
        <f aca="false">INT((N13-D13)/365.25)</f>
        <v>20</v>
      </c>
      <c r="P13" s="12" t="s">
        <v>22</v>
      </c>
    </row>
    <row r="14" customFormat="false" ht="15" hidden="false" customHeight="false" outlineLevel="0" collapsed="false">
      <c r="A14" s="51" t="n">
        <v>10</v>
      </c>
      <c r="B14" s="10" t="n">
        <v>873322</v>
      </c>
      <c r="C14" s="34" t="s">
        <v>1481</v>
      </c>
      <c r="D14" s="12" t="n">
        <v>24962</v>
      </c>
      <c r="E14" s="11" t="s">
        <v>1469</v>
      </c>
      <c r="F14" s="11" t="s">
        <v>151</v>
      </c>
      <c r="G14" s="11" t="s">
        <v>1482</v>
      </c>
      <c r="H14" s="11" t="n">
        <v>3038763</v>
      </c>
      <c r="I14" s="11" t="n">
        <v>5314642</v>
      </c>
      <c r="J14" s="11" t="n">
        <v>5491</v>
      </c>
      <c r="K14" s="11" t="s">
        <v>1483</v>
      </c>
      <c r="L14" s="11" t="n">
        <v>81988058984</v>
      </c>
      <c r="M14" s="11" t="s">
        <v>1471</v>
      </c>
      <c r="N14" s="24" t="n">
        <v>45850</v>
      </c>
      <c r="O14" s="25" t="n">
        <f aca="false">INT((N14-D14)/365.25)</f>
        <v>57</v>
      </c>
      <c r="P14" s="12" t="s">
        <v>22</v>
      </c>
    </row>
    <row r="15" customFormat="false" ht="15" hidden="false" customHeight="false" outlineLevel="0" collapsed="false">
      <c r="A15" s="51" t="n">
        <v>11</v>
      </c>
      <c r="B15" s="10" t="n">
        <v>873323</v>
      </c>
      <c r="C15" s="34" t="s">
        <v>1484</v>
      </c>
      <c r="D15" s="12" t="n">
        <v>37120</v>
      </c>
      <c r="E15" s="11" t="s">
        <v>1469</v>
      </c>
      <c r="F15" s="11" t="s">
        <v>151</v>
      </c>
      <c r="G15" s="11" t="s">
        <v>1485</v>
      </c>
      <c r="H15" s="11" t="n">
        <v>11861628</v>
      </c>
      <c r="I15" s="11" t="n">
        <v>7210394</v>
      </c>
      <c r="J15" s="11" t="n">
        <v>451</v>
      </c>
      <c r="K15" s="11" t="s">
        <v>22</v>
      </c>
      <c r="L15" s="11" t="n">
        <v>81973132344</v>
      </c>
      <c r="M15" s="11" t="s">
        <v>1471</v>
      </c>
      <c r="N15" s="24" t="n">
        <v>45850</v>
      </c>
      <c r="O15" s="25" t="n">
        <f aca="false">INT((N15-D15)/365.25)</f>
        <v>23</v>
      </c>
      <c r="P15" s="12" t="s">
        <v>22</v>
      </c>
    </row>
    <row r="16" customFormat="false" ht="15" hidden="false" customHeight="false" outlineLevel="0" collapsed="false">
      <c r="A16" s="51" t="n">
        <v>12</v>
      </c>
      <c r="B16" s="10" t="n">
        <v>873325</v>
      </c>
      <c r="C16" s="11" t="s">
        <v>1486</v>
      </c>
      <c r="D16" s="12" t="n">
        <v>31246</v>
      </c>
      <c r="E16" s="11" t="s">
        <v>1469</v>
      </c>
      <c r="F16" s="11" t="s">
        <v>151</v>
      </c>
      <c r="G16" s="11" t="s">
        <v>1487</v>
      </c>
      <c r="H16" s="11" t="n">
        <v>7614404</v>
      </c>
      <c r="I16" s="11" t="n">
        <v>9855</v>
      </c>
      <c r="J16" s="11" t="n">
        <v>83</v>
      </c>
      <c r="K16" s="11" t="s">
        <v>2</v>
      </c>
      <c r="L16" s="11" t="n">
        <v>81996574313</v>
      </c>
      <c r="M16" s="11" t="s">
        <v>1471</v>
      </c>
      <c r="N16" s="24" t="n">
        <v>45850</v>
      </c>
      <c r="O16" s="25" t="n">
        <f aca="false">INT((N16-D16)/365.25)</f>
        <v>39</v>
      </c>
      <c r="P16" s="12" t="s">
        <v>22</v>
      </c>
    </row>
    <row r="17" customFormat="false" ht="15" hidden="false" customHeight="false" outlineLevel="0" collapsed="false">
      <c r="A17" s="51" t="n">
        <v>13</v>
      </c>
      <c r="B17" s="10" t="n">
        <v>873326</v>
      </c>
      <c r="C17" s="34" t="s">
        <v>1488</v>
      </c>
      <c r="D17" s="12" t="n">
        <v>35561</v>
      </c>
      <c r="E17" s="11" t="s">
        <v>1469</v>
      </c>
      <c r="F17" s="11" t="s">
        <v>151</v>
      </c>
      <c r="G17" s="11" t="s">
        <v>1489</v>
      </c>
      <c r="H17" s="11" t="n">
        <v>10026901</v>
      </c>
      <c r="I17" s="11" t="n">
        <v>31046</v>
      </c>
      <c r="J17" s="11" t="n">
        <v>122</v>
      </c>
      <c r="K17" s="11" t="s">
        <v>22</v>
      </c>
      <c r="L17" s="11"/>
      <c r="M17" s="11" t="s">
        <v>1471</v>
      </c>
      <c r="N17" s="24" t="n">
        <v>45850</v>
      </c>
      <c r="O17" s="25" t="n">
        <f aca="false">INT((N17-D17)/365.25)</f>
        <v>28</v>
      </c>
      <c r="P17" s="12" t="s">
        <v>22</v>
      </c>
    </row>
    <row r="18" customFormat="false" ht="15" hidden="false" customHeight="false" outlineLevel="0" collapsed="false">
      <c r="A18" s="51" t="n">
        <v>14</v>
      </c>
      <c r="B18" s="10" t="n">
        <v>868302</v>
      </c>
      <c r="C18" s="34" t="s">
        <v>1024</v>
      </c>
      <c r="D18" s="12" t="n">
        <v>32416</v>
      </c>
      <c r="E18" s="11" t="s">
        <v>1469</v>
      </c>
      <c r="F18" s="11" t="s">
        <v>151</v>
      </c>
      <c r="G18" s="11" t="s">
        <v>1025</v>
      </c>
      <c r="H18" s="11" t="n">
        <v>7916380</v>
      </c>
      <c r="I18" s="11" t="n">
        <v>80048</v>
      </c>
      <c r="J18" s="11" t="n">
        <v>69</v>
      </c>
      <c r="K18" s="11" t="s">
        <v>1483</v>
      </c>
      <c r="L18" s="11" t="n">
        <v>81994668310</v>
      </c>
      <c r="M18" s="11" t="s">
        <v>1471</v>
      </c>
      <c r="N18" s="24" t="n">
        <v>45850</v>
      </c>
      <c r="O18" s="25" t="n">
        <f aca="false">INT((N18-D18)/365.25)</f>
        <v>36</v>
      </c>
      <c r="P18" s="12" t="s">
        <v>22</v>
      </c>
    </row>
    <row r="19" customFormat="false" ht="15" hidden="false" customHeight="false" outlineLevel="0" collapsed="false">
      <c r="A19" s="51" t="n">
        <v>15</v>
      </c>
      <c r="B19" s="10" t="n">
        <v>873331</v>
      </c>
      <c r="C19" s="34" t="s">
        <v>1490</v>
      </c>
      <c r="D19" s="12" t="n">
        <v>30973</v>
      </c>
      <c r="E19" s="11" t="s">
        <v>1469</v>
      </c>
      <c r="F19" s="11" t="s">
        <v>151</v>
      </c>
      <c r="G19" s="11" t="s">
        <v>1491</v>
      </c>
      <c r="H19" s="11" t="n">
        <v>721015</v>
      </c>
      <c r="I19" s="11" t="n">
        <v>22851</v>
      </c>
      <c r="J19" s="11" t="n">
        <v>78</v>
      </c>
      <c r="K19" s="11" t="s">
        <v>2</v>
      </c>
      <c r="L19" s="11"/>
      <c r="M19" s="11" t="s">
        <v>1471</v>
      </c>
      <c r="N19" s="24" t="n">
        <v>45850</v>
      </c>
      <c r="O19" s="25" t="n">
        <f aca="false">INT((N19-D19)/365.25)</f>
        <v>40</v>
      </c>
      <c r="P19" s="12" t="s">
        <v>22</v>
      </c>
    </row>
    <row r="20" customFormat="false" ht="15" hidden="false" customHeight="false" outlineLevel="0" collapsed="false">
      <c r="A20" s="51" t="n">
        <v>16</v>
      </c>
      <c r="B20" s="10" t="n">
        <v>873332</v>
      </c>
      <c r="C20" s="34" t="s">
        <v>1492</v>
      </c>
      <c r="D20" s="12" t="n">
        <v>38803</v>
      </c>
      <c r="E20" s="11" t="s">
        <v>1469</v>
      </c>
      <c r="F20" s="11" t="s">
        <v>151</v>
      </c>
      <c r="G20" s="11" t="s">
        <v>1493</v>
      </c>
      <c r="H20" s="11" t="n">
        <v>11629931</v>
      </c>
      <c r="I20" s="11" t="n">
        <v>1176007</v>
      </c>
      <c r="J20" s="11" t="n">
        <v>9486</v>
      </c>
      <c r="K20" s="11" t="s">
        <v>22</v>
      </c>
      <c r="L20" s="11" t="n">
        <v>81994469773</v>
      </c>
      <c r="M20" s="11" t="s">
        <v>1471</v>
      </c>
      <c r="N20" s="24" t="n">
        <v>45850</v>
      </c>
      <c r="O20" s="25" t="n">
        <f aca="false">INT((N20-D20)/365.25)</f>
        <v>19</v>
      </c>
      <c r="P20" s="12" t="s">
        <v>22</v>
      </c>
    </row>
    <row r="21" customFormat="false" ht="15" hidden="false" customHeight="false" outlineLevel="0" collapsed="false">
      <c r="A21" s="51" t="n">
        <v>17</v>
      </c>
      <c r="B21" s="10" t="n">
        <v>868307</v>
      </c>
      <c r="C21" s="34" t="s">
        <v>1028</v>
      </c>
      <c r="D21" s="12" t="n">
        <v>36757</v>
      </c>
      <c r="E21" s="11" t="s">
        <v>1469</v>
      </c>
      <c r="F21" s="11" t="s">
        <v>151</v>
      </c>
      <c r="G21" s="11" t="s">
        <v>1029</v>
      </c>
      <c r="H21" s="11" t="n">
        <v>8478976</v>
      </c>
      <c r="I21" s="11" t="n">
        <v>1158606</v>
      </c>
      <c r="J21" s="11" t="n">
        <v>7420</v>
      </c>
      <c r="K21" s="11" t="s">
        <v>30</v>
      </c>
      <c r="L21" s="11" t="n">
        <v>81992078437</v>
      </c>
      <c r="M21" s="11" t="s">
        <v>1471</v>
      </c>
      <c r="N21" s="24" t="n">
        <v>45850</v>
      </c>
      <c r="O21" s="25" t="n">
        <f aca="false">INT((N21-D21)/365.25)</f>
        <v>24</v>
      </c>
      <c r="P21" s="12" t="s">
        <v>22</v>
      </c>
    </row>
    <row r="22" customFormat="false" ht="15" hidden="false" customHeight="false" outlineLevel="0" collapsed="false">
      <c r="A22" s="51" t="n">
        <v>18</v>
      </c>
      <c r="B22" s="10" t="n">
        <v>868289</v>
      </c>
      <c r="C22" s="11" t="s">
        <v>1034</v>
      </c>
      <c r="D22" s="12" t="n">
        <v>34284</v>
      </c>
      <c r="E22" s="11" t="s">
        <v>1469</v>
      </c>
      <c r="F22" s="11" t="s">
        <v>151</v>
      </c>
      <c r="G22" s="11" t="s">
        <v>1035</v>
      </c>
      <c r="H22" s="11" t="n">
        <v>8728368</v>
      </c>
      <c r="I22" s="11" t="n">
        <v>1003916</v>
      </c>
      <c r="J22" s="11" t="n">
        <v>6430</v>
      </c>
      <c r="K22" s="11" t="s">
        <v>30</v>
      </c>
      <c r="L22" s="11"/>
      <c r="M22" s="11" t="s">
        <v>1471</v>
      </c>
      <c r="N22" s="24" t="n">
        <v>45850</v>
      </c>
      <c r="O22" s="25" t="n">
        <f aca="false">INT((N22-D22)/365.25)</f>
        <v>31</v>
      </c>
      <c r="P22" s="12" t="s">
        <v>22</v>
      </c>
    </row>
    <row r="23" customFormat="false" ht="15" hidden="false" customHeight="false" outlineLevel="0" collapsed="false">
      <c r="A23" s="51" t="n">
        <v>19</v>
      </c>
      <c r="B23" s="10" t="n">
        <v>873333</v>
      </c>
      <c r="C23" s="11" t="s">
        <v>1494</v>
      </c>
      <c r="D23" s="12" t="n">
        <v>34077</v>
      </c>
      <c r="E23" s="11" t="s">
        <v>1469</v>
      </c>
      <c r="F23" s="11" t="s">
        <v>151</v>
      </c>
      <c r="G23" s="11" t="s">
        <v>1495</v>
      </c>
      <c r="H23" s="11" t="n">
        <v>6908635</v>
      </c>
      <c r="I23" s="11" t="n">
        <v>265383</v>
      </c>
      <c r="J23" s="11" t="n">
        <v>1295</v>
      </c>
      <c r="K23" s="11" t="s">
        <v>30</v>
      </c>
      <c r="L23" s="11"/>
      <c r="M23" s="11" t="s">
        <v>1471</v>
      </c>
      <c r="N23" s="24" t="n">
        <v>45850</v>
      </c>
      <c r="O23" s="25" t="n">
        <f aca="false">INT((N23-D23)/365.25)</f>
        <v>32</v>
      </c>
      <c r="P23" s="12" t="s">
        <v>22</v>
      </c>
    </row>
    <row r="24" customFormat="false" ht="15" hidden="false" customHeight="false" outlineLevel="0" collapsed="false">
      <c r="A24" s="51" t="n">
        <v>20</v>
      </c>
      <c r="B24" s="10" t="n">
        <v>873334</v>
      </c>
      <c r="C24" s="11" t="s">
        <v>1496</v>
      </c>
      <c r="D24" s="12" t="n">
        <v>38358</v>
      </c>
      <c r="E24" s="11" t="s">
        <v>1469</v>
      </c>
      <c r="F24" s="11" t="s">
        <v>151</v>
      </c>
      <c r="G24" s="11" t="s">
        <v>1497</v>
      </c>
      <c r="H24" s="11" t="n">
        <v>11760161</v>
      </c>
      <c r="I24" s="11" t="n">
        <v>7203996</v>
      </c>
      <c r="J24" s="11" t="n">
        <v>6463</v>
      </c>
      <c r="K24" s="11" t="s">
        <v>22</v>
      </c>
      <c r="L24" s="11" t="n">
        <v>81996519081</v>
      </c>
      <c r="M24" s="11" t="s">
        <v>1471</v>
      </c>
      <c r="N24" s="24" t="n">
        <v>45850</v>
      </c>
      <c r="O24" s="25" t="n">
        <f aca="false">INT((N24-D24)/365.25)</f>
        <v>20</v>
      </c>
      <c r="P24" s="12" t="s">
        <v>22</v>
      </c>
    </row>
    <row r="25" customFormat="false" ht="15" hidden="false" customHeight="false" outlineLevel="0" collapsed="false">
      <c r="A25" s="51" t="n">
        <v>21</v>
      </c>
      <c r="B25" s="10" t="n">
        <v>869124</v>
      </c>
      <c r="C25" s="11" t="s">
        <v>1036</v>
      </c>
      <c r="D25" s="12" t="n">
        <v>32780</v>
      </c>
      <c r="E25" s="11" t="s">
        <v>1469</v>
      </c>
      <c r="F25" s="11" t="s">
        <v>151</v>
      </c>
      <c r="G25" s="10" t="s">
        <v>1037</v>
      </c>
      <c r="H25" s="34" t="n">
        <v>8065254</v>
      </c>
      <c r="I25" s="11" t="n">
        <v>53015</v>
      </c>
      <c r="J25" s="11" t="n">
        <v>85</v>
      </c>
      <c r="K25" s="11" t="s">
        <v>30</v>
      </c>
      <c r="L25" s="11" t="n">
        <v>81998274347</v>
      </c>
      <c r="M25" s="11" t="s">
        <v>1471</v>
      </c>
      <c r="N25" s="24" t="n">
        <v>45850</v>
      </c>
      <c r="O25" s="25" t="n">
        <f aca="false">INT((N25-D25)/365.25)</f>
        <v>35</v>
      </c>
      <c r="P25" s="12" t="s">
        <v>22</v>
      </c>
    </row>
    <row r="26" customFormat="false" ht="15" hidden="false" customHeight="false" outlineLevel="0" collapsed="false">
      <c r="A26" s="51" t="n">
        <v>22</v>
      </c>
      <c r="B26" s="10" t="n">
        <v>854816</v>
      </c>
      <c r="C26" s="34" t="s">
        <v>1039</v>
      </c>
      <c r="D26" s="12" t="n">
        <v>37052</v>
      </c>
      <c r="E26" s="11" t="s">
        <v>1469</v>
      </c>
      <c r="F26" s="11" t="s">
        <v>151</v>
      </c>
      <c r="G26" s="11" t="s">
        <v>1040</v>
      </c>
      <c r="H26" s="11" t="n">
        <v>10447449</v>
      </c>
      <c r="I26" s="11" t="n">
        <v>1403645</v>
      </c>
      <c r="J26" s="11" t="n">
        <v>3459</v>
      </c>
      <c r="K26" s="11" t="s">
        <v>22</v>
      </c>
      <c r="L26" s="11" t="n">
        <v>34984291013</v>
      </c>
      <c r="M26" s="11" t="s">
        <v>1471</v>
      </c>
      <c r="N26" s="24" t="n">
        <v>45850</v>
      </c>
      <c r="O26" s="25" t="n">
        <f aca="false">INT((N26-D26)/365.25)</f>
        <v>24</v>
      </c>
      <c r="P26" s="12" t="s">
        <v>22</v>
      </c>
    </row>
    <row r="27" customFormat="false" ht="15" hidden="false" customHeight="false" outlineLevel="0" collapsed="false">
      <c r="A27" s="51" t="n">
        <v>23</v>
      </c>
      <c r="B27" s="10" t="n">
        <v>869599</v>
      </c>
      <c r="C27" s="11" t="s">
        <v>1041</v>
      </c>
      <c r="D27" s="12" t="n">
        <v>27367</v>
      </c>
      <c r="E27" s="11" t="s">
        <v>1469</v>
      </c>
      <c r="F27" s="11" t="s">
        <v>151</v>
      </c>
      <c r="G27" s="11" t="s">
        <v>1042</v>
      </c>
      <c r="H27" s="11" t="n">
        <v>5671623</v>
      </c>
      <c r="I27" s="11" t="n">
        <v>30090</v>
      </c>
      <c r="J27" s="11" t="n">
        <v>5203</v>
      </c>
      <c r="K27" s="11" t="s">
        <v>30</v>
      </c>
      <c r="L27" s="11"/>
      <c r="M27" s="11" t="s">
        <v>1471</v>
      </c>
      <c r="N27" s="24" t="n">
        <v>45850</v>
      </c>
      <c r="O27" s="25" t="n">
        <f aca="false">INT((N27-D27)/365.25)</f>
        <v>50</v>
      </c>
      <c r="P27" s="12" t="s">
        <v>22</v>
      </c>
    </row>
    <row r="28" customFormat="false" ht="15" hidden="false" customHeight="false" outlineLevel="0" collapsed="false">
      <c r="A28" s="51" t="n">
        <v>24</v>
      </c>
      <c r="B28" s="10" t="n">
        <v>854815</v>
      </c>
      <c r="C28" s="34" t="s">
        <v>1043</v>
      </c>
      <c r="D28" s="12" t="n">
        <v>29778</v>
      </c>
      <c r="E28" s="11" t="s">
        <v>1469</v>
      </c>
      <c r="F28" s="11" t="s">
        <v>151</v>
      </c>
      <c r="G28" s="11" t="s">
        <v>1044</v>
      </c>
      <c r="H28" s="11" t="n">
        <v>6267076</v>
      </c>
      <c r="I28" s="11" t="n">
        <v>53191</v>
      </c>
      <c r="J28" s="11" t="n">
        <v>104</v>
      </c>
      <c r="K28" s="11" t="s">
        <v>22</v>
      </c>
      <c r="L28" s="11" t="n">
        <v>81994562599</v>
      </c>
      <c r="M28" s="11" t="s">
        <v>1471</v>
      </c>
      <c r="N28" s="24" t="n">
        <v>45850</v>
      </c>
      <c r="O28" s="25" t="n">
        <f aca="false">INT((N28-D28)/365.25)</f>
        <v>44</v>
      </c>
      <c r="P28" s="12" t="s">
        <v>22</v>
      </c>
    </row>
    <row r="29" customFormat="false" ht="15" hidden="false" customHeight="false" outlineLevel="0" collapsed="false">
      <c r="A29" s="51" t="n">
        <v>25</v>
      </c>
      <c r="B29" s="10" t="n">
        <v>873347</v>
      </c>
      <c r="C29" s="11" t="s">
        <v>1498</v>
      </c>
      <c r="D29" s="12" t="n">
        <v>30322</v>
      </c>
      <c r="E29" s="11" t="s">
        <v>1469</v>
      </c>
      <c r="F29" s="11" t="s">
        <v>151</v>
      </c>
      <c r="G29" s="11" t="s">
        <v>1499</v>
      </c>
      <c r="H29" s="11" t="n">
        <v>5683828</v>
      </c>
      <c r="I29" s="11" t="n">
        <v>9983315</v>
      </c>
      <c r="J29" s="11" t="n">
        <v>40</v>
      </c>
      <c r="K29" s="11" t="s">
        <v>30</v>
      </c>
      <c r="L29" s="11" t="n">
        <v>81999145289</v>
      </c>
      <c r="M29" s="11" t="s">
        <v>1471</v>
      </c>
      <c r="N29" s="24" t="n">
        <v>45850</v>
      </c>
      <c r="O29" s="25" t="n">
        <f aca="false">INT((N29-D29)/365.25)</f>
        <v>42</v>
      </c>
      <c r="P29" s="12" t="s">
        <v>22</v>
      </c>
    </row>
    <row r="30" customFormat="false" ht="15" hidden="false" customHeight="false" outlineLevel="0" collapsed="false">
      <c r="A30" s="51" t="n">
        <v>26</v>
      </c>
      <c r="B30" s="10" t="n">
        <v>873336</v>
      </c>
      <c r="C30" s="34" t="s">
        <v>1500</v>
      </c>
      <c r="D30" s="12" t="n">
        <v>38743</v>
      </c>
      <c r="E30" s="11" t="s">
        <v>1469</v>
      </c>
      <c r="F30" s="11" t="s">
        <v>151</v>
      </c>
      <c r="G30" s="11" t="s">
        <v>1501</v>
      </c>
      <c r="H30" s="11" t="s">
        <v>1502</v>
      </c>
      <c r="I30" s="11" t="n">
        <v>1650834</v>
      </c>
      <c r="J30" s="11" t="n">
        <v>8462</v>
      </c>
      <c r="K30" s="11" t="s">
        <v>30</v>
      </c>
      <c r="L30" s="11" t="n">
        <v>81999587674</v>
      </c>
      <c r="M30" s="11" t="s">
        <v>1471</v>
      </c>
      <c r="N30" s="24" t="n">
        <v>45850</v>
      </c>
      <c r="O30" s="25" t="n">
        <f aca="false">INT((N30-D30)/365.25)</f>
        <v>19</v>
      </c>
      <c r="P30" s="12" t="s">
        <v>22</v>
      </c>
    </row>
    <row r="31" customFormat="false" ht="15" hidden="false" customHeight="false" outlineLevel="0" collapsed="false">
      <c r="A31" s="51" t="n">
        <v>27</v>
      </c>
      <c r="B31" s="10" t="n">
        <v>873337</v>
      </c>
      <c r="C31" s="11" t="s">
        <v>1503</v>
      </c>
      <c r="D31" s="12" t="n">
        <v>38286</v>
      </c>
      <c r="E31" s="11" t="s">
        <v>1469</v>
      </c>
      <c r="F31" s="11" t="s">
        <v>151</v>
      </c>
      <c r="G31" s="11" t="s">
        <v>1504</v>
      </c>
      <c r="H31" s="11" t="n">
        <v>10688072</v>
      </c>
      <c r="I31" s="11" t="n">
        <v>1408477</v>
      </c>
      <c r="J31" s="11" t="n">
        <v>418</v>
      </c>
      <c r="K31" s="11" t="s">
        <v>22</v>
      </c>
      <c r="L31" s="11" t="n">
        <v>81986754532</v>
      </c>
      <c r="M31" s="11" t="s">
        <v>1471</v>
      </c>
      <c r="N31" s="24" t="n">
        <v>45850</v>
      </c>
      <c r="O31" s="25" t="n">
        <f aca="false">INT((N31-D31)/365.25)</f>
        <v>20</v>
      </c>
      <c r="P31" s="12" t="s">
        <v>22</v>
      </c>
    </row>
    <row r="32" customFormat="false" ht="15" hidden="false" customHeight="false" outlineLevel="0" collapsed="false">
      <c r="A32" s="51" t="n">
        <v>28</v>
      </c>
      <c r="B32" s="10" t="n">
        <v>873348</v>
      </c>
      <c r="C32" s="34" t="s">
        <v>1505</v>
      </c>
      <c r="D32" s="12" t="n">
        <v>37765</v>
      </c>
      <c r="E32" s="11" t="s">
        <v>1469</v>
      </c>
      <c r="F32" s="11" t="s">
        <v>151</v>
      </c>
      <c r="G32" s="11" t="s">
        <v>1506</v>
      </c>
      <c r="H32" s="11" t="n">
        <v>10539228</v>
      </c>
      <c r="I32" s="11" t="n">
        <v>1431729</v>
      </c>
      <c r="J32" s="11" t="n">
        <v>9496</v>
      </c>
      <c r="K32" s="11" t="s">
        <v>22</v>
      </c>
      <c r="L32" s="11" t="n">
        <v>81991651679</v>
      </c>
      <c r="M32" s="11" t="s">
        <v>1471</v>
      </c>
      <c r="N32" s="24" t="n">
        <v>45850</v>
      </c>
      <c r="O32" s="25" t="n">
        <f aca="false">INT((N32-D32)/365.25)</f>
        <v>22</v>
      </c>
      <c r="P32" s="12" t="s">
        <v>22</v>
      </c>
    </row>
    <row r="33" customFormat="false" ht="15" hidden="false" customHeight="false" outlineLevel="0" collapsed="false">
      <c r="A33" s="51" t="n">
        <v>29</v>
      </c>
      <c r="B33" s="10" t="n">
        <v>873349</v>
      </c>
      <c r="C33" s="34" t="s">
        <v>1507</v>
      </c>
      <c r="D33" s="12" t="n">
        <v>31860</v>
      </c>
      <c r="E33" s="11" t="s">
        <v>1469</v>
      </c>
      <c r="F33" s="11" t="s">
        <v>151</v>
      </c>
      <c r="G33" s="11" t="s">
        <v>1508</v>
      </c>
      <c r="H33" s="11" t="n">
        <v>6866673</v>
      </c>
      <c r="I33" s="11" t="n">
        <v>703990</v>
      </c>
      <c r="J33" s="11" t="n">
        <v>3490</v>
      </c>
      <c r="K33" s="11" t="s">
        <v>1509</v>
      </c>
      <c r="L33" s="11" t="n">
        <v>81992900982</v>
      </c>
      <c r="M33" s="11" t="s">
        <v>1471</v>
      </c>
      <c r="N33" s="24" t="n">
        <v>45850</v>
      </c>
      <c r="O33" s="25" t="n">
        <f aca="false">INT((N33-D33)/365.25)</f>
        <v>38</v>
      </c>
      <c r="P33" s="12" t="s">
        <v>22</v>
      </c>
    </row>
    <row r="34" customFormat="false" ht="15" hidden="false" customHeight="false" outlineLevel="0" collapsed="false">
      <c r="A34" s="51" t="n">
        <v>30</v>
      </c>
      <c r="B34" s="10" t="n">
        <v>873351</v>
      </c>
      <c r="C34" s="34" t="s">
        <v>1510</v>
      </c>
      <c r="D34" s="12" t="n">
        <v>35022</v>
      </c>
      <c r="E34" s="11" t="s">
        <v>1469</v>
      </c>
      <c r="F34" s="11" t="s">
        <v>151</v>
      </c>
      <c r="G34" s="11" t="s">
        <v>1511</v>
      </c>
      <c r="H34" s="11" t="n">
        <v>8960612</v>
      </c>
      <c r="I34" s="11" t="n">
        <v>1177631</v>
      </c>
      <c r="J34" s="11" t="n">
        <v>7416</v>
      </c>
      <c r="K34" s="11" t="s">
        <v>1509</v>
      </c>
      <c r="L34" s="11" t="n">
        <v>81995322764</v>
      </c>
      <c r="M34" s="11" t="s">
        <v>1471</v>
      </c>
      <c r="N34" s="24" t="n">
        <v>45850</v>
      </c>
      <c r="O34" s="25" t="n">
        <f aca="false">INT((N34-D34)/365.25)</f>
        <v>29</v>
      </c>
      <c r="P34" s="12" t="s">
        <v>22</v>
      </c>
    </row>
    <row r="35" customFormat="false" ht="15" hidden="false" customHeight="false" outlineLevel="0" collapsed="false">
      <c r="A35" s="51" t="n">
        <v>31</v>
      </c>
      <c r="B35" s="10" t="n">
        <v>868316</v>
      </c>
      <c r="C35" s="11" t="s">
        <v>1047</v>
      </c>
      <c r="D35" s="12" t="n">
        <v>31586</v>
      </c>
      <c r="E35" s="11" t="s">
        <v>1469</v>
      </c>
      <c r="F35" s="11" t="s">
        <v>151</v>
      </c>
      <c r="G35" s="11" t="s">
        <v>1048</v>
      </c>
      <c r="H35" s="11" t="n">
        <v>6905969</v>
      </c>
      <c r="I35" s="11" t="n">
        <v>72362</v>
      </c>
      <c r="J35" s="11" t="n">
        <v>79</v>
      </c>
      <c r="K35" s="11" t="s">
        <v>22</v>
      </c>
      <c r="L35" s="11" t="n">
        <v>81997172356</v>
      </c>
      <c r="M35" s="11" t="s">
        <v>1471</v>
      </c>
      <c r="N35" s="24" t="n">
        <v>45850</v>
      </c>
      <c r="O35" s="25" t="n">
        <f aca="false">INT((N35-D35)/365.25)</f>
        <v>39</v>
      </c>
      <c r="P35" s="12" t="s">
        <v>22</v>
      </c>
    </row>
    <row r="36" customFormat="false" ht="15" hidden="false" customHeight="false" outlineLevel="0" collapsed="false">
      <c r="A36" s="51" t="n">
        <v>32</v>
      </c>
      <c r="B36" s="10" t="n">
        <v>873368</v>
      </c>
      <c r="C36" s="34" t="s">
        <v>1512</v>
      </c>
      <c r="D36" s="12" t="n">
        <v>36781</v>
      </c>
      <c r="E36" s="11" t="s">
        <v>1469</v>
      </c>
      <c r="F36" s="11" t="s">
        <v>151</v>
      </c>
      <c r="G36" s="11" t="s">
        <v>1513</v>
      </c>
      <c r="H36" s="11" t="n">
        <v>10657348</v>
      </c>
      <c r="I36" s="11" t="n">
        <v>1235328</v>
      </c>
      <c r="J36" s="11" t="n">
        <v>9452</v>
      </c>
      <c r="K36" s="11" t="s">
        <v>2</v>
      </c>
      <c r="L36" s="11" t="n">
        <v>81992405368</v>
      </c>
      <c r="M36" s="11" t="s">
        <v>1471</v>
      </c>
      <c r="N36" s="24" t="n">
        <v>45850</v>
      </c>
      <c r="O36" s="25" t="n">
        <f aca="false">INT((N36-D36)/365.25)</f>
        <v>24</v>
      </c>
      <c r="P36" s="12"/>
      <c r="Q36" s="0" t="s">
        <v>16</v>
      </c>
    </row>
    <row r="37" customFormat="false" ht="15" hidden="false" customHeight="false" outlineLevel="0" collapsed="false">
      <c r="A37" s="51" t="n">
        <v>33</v>
      </c>
      <c r="B37" s="10" t="n">
        <v>855040</v>
      </c>
      <c r="C37" s="34" t="s">
        <v>1051</v>
      </c>
      <c r="D37" s="12" t="n">
        <v>31126</v>
      </c>
      <c r="E37" s="11" t="s">
        <v>1469</v>
      </c>
      <c r="F37" s="11" t="s">
        <v>151</v>
      </c>
      <c r="G37" s="11" t="s">
        <v>1052</v>
      </c>
      <c r="H37" s="11" t="n">
        <v>8625766</v>
      </c>
      <c r="I37" s="11" t="n">
        <v>5634612</v>
      </c>
      <c r="J37" s="11" t="n">
        <v>50</v>
      </c>
      <c r="K37" s="11" t="s">
        <v>30</v>
      </c>
      <c r="L37" s="11" t="n">
        <v>34984183312</v>
      </c>
      <c r="M37" s="11" t="s">
        <v>1471</v>
      </c>
      <c r="N37" s="24" t="n">
        <v>45850</v>
      </c>
      <c r="O37" s="25" t="n">
        <f aca="false">INT((N37-D37)/365.25)</f>
        <v>40</v>
      </c>
      <c r="P37" s="12" t="s">
        <v>22</v>
      </c>
    </row>
    <row r="38" customFormat="false" ht="15" hidden="false" customHeight="false" outlineLevel="0" collapsed="false">
      <c r="A38" s="51" t="n">
        <v>34</v>
      </c>
      <c r="B38" s="52" t="n">
        <v>855979</v>
      </c>
      <c r="C38" s="53" t="s">
        <v>1055</v>
      </c>
      <c r="D38" s="12" t="n">
        <v>32604</v>
      </c>
      <c r="E38" s="11" t="s">
        <v>1469</v>
      </c>
      <c r="F38" s="11" t="s">
        <v>151</v>
      </c>
      <c r="G38" s="11" t="s">
        <v>1056</v>
      </c>
      <c r="H38" s="11" t="n">
        <v>57787584</v>
      </c>
      <c r="I38" s="11" t="n">
        <v>982326</v>
      </c>
      <c r="J38" s="11" t="n">
        <v>1490</v>
      </c>
      <c r="K38" s="11" t="s">
        <v>22</v>
      </c>
      <c r="L38" s="11" t="n">
        <v>81996536339</v>
      </c>
      <c r="M38" s="11" t="s">
        <v>1471</v>
      </c>
      <c r="N38" s="24" t="n">
        <v>45850</v>
      </c>
      <c r="O38" s="25" t="n">
        <f aca="false">INT((N38-D38)/365.25)</f>
        <v>36</v>
      </c>
      <c r="P38" s="12" t="s">
        <v>22</v>
      </c>
    </row>
    <row r="39" customFormat="false" ht="15" hidden="false" customHeight="false" outlineLevel="0" collapsed="false">
      <c r="A39" s="51" t="n">
        <v>35</v>
      </c>
      <c r="B39" s="10" t="n">
        <v>868268</v>
      </c>
      <c r="C39" s="34" t="s">
        <v>1057</v>
      </c>
      <c r="D39" s="12" t="n">
        <v>31179</v>
      </c>
      <c r="E39" s="11" t="s">
        <v>1469</v>
      </c>
      <c r="F39" s="11" t="s">
        <v>151</v>
      </c>
      <c r="G39" s="11" t="s">
        <v>1058</v>
      </c>
      <c r="H39" s="11" t="s">
        <v>1059</v>
      </c>
      <c r="I39" s="11" t="n">
        <v>81996</v>
      </c>
      <c r="J39" s="11" t="n">
        <v>334</v>
      </c>
      <c r="K39" s="11" t="s">
        <v>30</v>
      </c>
      <c r="L39" s="11" t="n">
        <v>81993508730</v>
      </c>
      <c r="M39" s="11" t="s">
        <v>1471</v>
      </c>
      <c r="N39" s="24" t="n">
        <v>45850</v>
      </c>
      <c r="O39" s="25" t="n">
        <f aca="false">INT((N39-D39)/365.25)</f>
        <v>40</v>
      </c>
      <c r="P39" s="12" t="s">
        <v>22</v>
      </c>
    </row>
    <row r="40" customFormat="false" ht="15" hidden="false" customHeight="false" outlineLevel="0" collapsed="false">
      <c r="A40" s="51" t="n">
        <v>36</v>
      </c>
      <c r="B40" s="10" t="n">
        <v>873354</v>
      </c>
      <c r="C40" s="34" t="s">
        <v>1514</v>
      </c>
      <c r="D40" s="12" t="n">
        <v>36904</v>
      </c>
      <c r="E40" s="11" t="s">
        <v>1469</v>
      </c>
      <c r="F40" s="11" t="s">
        <v>151</v>
      </c>
      <c r="G40" s="11" t="s">
        <v>1515</v>
      </c>
      <c r="H40" s="11" t="n">
        <v>10676153</v>
      </c>
      <c r="I40" s="11" t="n">
        <v>7475849</v>
      </c>
      <c r="J40" s="11" t="n">
        <v>60</v>
      </c>
      <c r="K40" s="11" t="s">
        <v>30</v>
      </c>
      <c r="L40" s="11" t="n">
        <v>81999817129</v>
      </c>
      <c r="M40" s="11" t="s">
        <v>1471</v>
      </c>
      <c r="N40" s="24" t="n">
        <v>45850</v>
      </c>
      <c r="O40" s="25" t="n">
        <f aca="false">INT((N40-D40)/365.25)</f>
        <v>24</v>
      </c>
      <c r="P40" s="12" t="s">
        <v>22</v>
      </c>
    </row>
    <row r="41" customFormat="false" ht="15" hidden="false" customHeight="false" outlineLevel="0" collapsed="false">
      <c r="A41" s="51" t="n">
        <v>37</v>
      </c>
      <c r="B41" s="10" t="n">
        <v>873355</v>
      </c>
      <c r="C41" s="34" t="s">
        <v>1516</v>
      </c>
      <c r="D41" s="12" t="n">
        <v>36918</v>
      </c>
      <c r="E41" s="11" t="s">
        <v>1469</v>
      </c>
      <c r="F41" s="11" t="s">
        <v>151</v>
      </c>
      <c r="G41" s="11" t="s">
        <v>1517</v>
      </c>
      <c r="H41" s="11" t="n">
        <v>10610758</v>
      </c>
      <c r="I41" s="11" t="n">
        <v>7131493</v>
      </c>
      <c r="J41" s="11" t="n">
        <v>2446</v>
      </c>
      <c r="K41" s="11" t="s">
        <v>30</v>
      </c>
      <c r="L41" s="11"/>
      <c r="M41" s="11" t="s">
        <v>1471</v>
      </c>
      <c r="N41" s="24" t="n">
        <v>45850</v>
      </c>
      <c r="O41" s="25" t="n">
        <f aca="false">INT((N41-D41)/365.25)</f>
        <v>24</v>
      </c>
      <c r="P41" s="12" t="s">
        <v>22</v>
      </c>
    </row>
    <row r="42" customFormat="false" ht="15" hidden="false" customHeight="false" outlineLevel="0" collapsed="false">
      <c r="A42" s="51" t="n">
        <v>38</v>
      </c>
      <c r="B42" s="10" t="n">
        <v>873356</v>
      </c>
      <c r="C42" s="11" t="s">
        <v>1518</v>
      </c>
      <c r="D42" s="12" t="n">
        <v>39239</v>
      </c>
      <c r="E42" s="11" t="s">
        <v>1469</v>
      </c>
      <c r="F42" s="11" t="s">
        <v>151</v>
      </c>
      <c r="G42" s="11" t="s">
        <v>1519</v>
      </c>
      <c r="H42" s="11" t="n">
        <v>12241504</v>
      </c>
      <c r="I42" s="11" t="n">
        <v>1738896</v>
      </c>
      <c r="J42" s="11" t="n">
        <v>3405</v>
      </c>
      <c r="K42" s="11" t="s">
        <v>22</v>
      </c>
      <c r="L42" s="11"/>
      <c r="M42" s="11" t="s">
        <v>1471</v>
      </c>
      <c r="N42" s="24" t="n">
        <v>45850</v>
      </c>
      <c r="O42" s="25" t="n">
        <f aca="false">INT((N42-D42)/365.25)</f>
        <v>18</v>
      </c>
      <c r="P42" s="12" t="s">
        <v>22</v>
      </c>
    </row>
    <row r="43" customFormat="false" ht="15" hidden="false" customHeight="false" outlineLevel="0" collapsed="false">
      <c r="A43" s="51" t="n">
        <v>39</v>
      </c>
      <c r="B43" s="10" t="n">
        <v>873360</v>
      </c>
      <c r="C43" s="34" t="s">
        <v>1520</v>
      </c>
      <c r="D43" s="12" t="n">
        <v>37737</v>
      </c>
      <c r="E43" s="11" t="s">
        <v>1469</v>
      </c>
      <c r="F43" s="11" t="s">
        <v>151</v>
      </c>
      <c r="G43" s="11" t="s">
        <v>1521</v>
      </c>
      <c r="H43" s="34" t="s">
        <v>1522</v>
      </c>
      <c r="I43" s="11" t="n">
        <v>7158946</v>
      </c>
      <c r="J43" s="11" t="n">
        <v>9402</v>
      </c>
      <c r="K43" s="11" t="s">
        <v>22</v>
      </c>
      <c r="L43" s="11" t="n">
        <v>81999031337</v>
      </c>
      <c r="M43" s="11" t="s">
        <v>1471</v>
      </c>
      <c r="N43" s="24" t="n">
        <v>45850</v>
      </c>
      <c r="O43" s="25" t="n">
        <f aca="false">INT((N43-D43)/365.25)</f>
        <v>22</v>
      </c>
      <c r="P43" s="12" t="s">
        <v>22</v>
      </c>
    </row>
    <row r="44" customFormat="false" ht="15" hidden="false" customHeight="false" outlineLevel="0" collapsed="false">
      <c r="A44" s="51" t="n">
        <v>40</v>
      </c>
      <c r="B44" s="10" t="n">
        <v>873361</v>
      </c>
      <c r="C44" s="34" t="s">
        <v>1523</v>
      </c>
      <c r="D44" s="12" t="n">
        <v>38622</v>
      </c>
      <c r="E44" s="11" t="s">
        <v>1469</v>
      </c>
      <c r="F44" s="11" t="s">
        <v>151</v>
      </c>
      <c r="G44" s="11" t="s">
        <v>1524</v>
      </c>
      <c r="H44" s="11" t="n">
        <v>12273679</v>
      </c>
      <c r="I44" s="11" t="n">
        <v>24906</v>
      </c>
      <c r="J44" s="11" t="n">
        <v>9482</v>
      </c>
      <c r="K44" s="11" t="s">
        <v>30</v>
      </c>
      <c r="L44" s="11" t="n">
        <v>81988028435</v>
      </c>
      <c r="M44" s="11" t="s">
        <v>1471</v>
      </c>
      <c r="N44" s="24" t="n">
        <v>45850</v>
      </c>
      <c r="O44" s="25" t="n">
        <f aca="false">INT((N44-D44)/365.25)</f>
        <v>19</v>
      </c>
      <c r="P44" s="12" t="s">
        <v>22</v>
      </c>
    </row>
    <row r="45" customFormat="false" ht="15" hidden="false" customHeight="false" outlineLevel="0" collapsed="false">
      <c r="A45" s="51" t="n">
        <v>41</v>
      </c>
      <c r="B45" s="10" t="n">
        <v>873362</v>
      </c>
      <c r="C45" s="11" t="s">
        <v>1525</v>
      </c>
      <c r="D45" s="12" t="n">
        <v>33590</v>
      </c>
      <c r="E45" s="11" t="s">
        <v>1469</v>
      </c>
      <c r="F45" s="11" t="s">
        <v>151</v>
      </c>
      <c r="G45" s="11" t="s">
        <v>1526</v>
      </c>
      <c r="H45" s="11" t="n">
        <v>8229568</v>
      </c>
      <c r="I45" s="11" t="n">
        <v>4881</v>
      </c>
      <c r="J45" s="11" t="n">
        <v>97</v>
      </c>
      <c r="K45" s="11" t="s">
        <v>22</v>
      </c>
      <c r="L45" s="11"/>
      <c r="M45" s="11" t="s">
        <v>1471</v>
      </c>
      <c r="N45" s="24" t="n">
        <v>45850</v>
      </c>
      <c r="O45" s="25" t="n">
        <f aca="false">INT((N45-D45)/365.25)</f>
        <v>33</v>
      </c>
      <c r="P45" s="12" t="s">
        <v>22</v>
      </c>
    </row>
    <row r="46" customFormat="false" ht="15" hidden="false" customHeight="false" outlineLevel="0" collapsed="false">
      <c r="A46" s="51" t="n">
        <v>42</v>
      </c>
      <c r="B46" s="10" t="n">
        <v>873366</v>
      </c>
      <c r="C46" s="34" t="s">
        <v>1527</v>
      </c>
      <c r="D46" s="12" t="n">
        <v>30877</v>
      </c>
      <c r="E46" s="11" t="s">
        <v>1469</v>
      </c>
      <c r="F46" s="11" t="s">
        <v>151</v>
      </c>
      <c r="G46" s="11" t="s">
        <v>1528</v>
      </c>
      <c r="H46" s="11" t="n">
        <v>6908180</v>
      </c>
      <c r="I46" s="11" t="n">
        <v>32712</v>
      </c>
      <c r="J46" s="11" t="n">
        <v>101</v>
      </c>
      <c r="K46" s="11" t="s">
        <v>2</v>
      </c>
      <c r="L46" s="11" t="n">
        <v>81997338389</v>
      </c>
      <c r="M46" s="11" t="s">
        <v>1471</v>
      </c>
      <c r="N46" s="24" t="n">
        <v>45850</v>
      </c>
      <c r="O46" s="25" t="n">
        <f aca="false">INT((N46-D46)/365.25)</f>
        <v>40</v>
      </c>
      <c r="P46" s="12" t="s">
        <v>22</v>
      </c>
    </row>
    <row r="47" customFormat="false" ht="15" hidden="false" customHeight="false" outlineLevel="0" collapsed="false">
      <c r="A47" s="51" t="n">
        <v>43</v>
      </c>
      <c r="B47" s="10" t="n">
        <v>858374</v>
      </c>
      <c r="C47" s="34" t="s">
        <v>1529</v>
      </c>
      <c r="D47" s="12" t="n">
        <v>33454</v>
      </c>
      <c r="E47" s="11" t="s">
        <v>1469</v>
      </c>
      <c r="F47" s="11" t="s">
        <v>151</v>
      </c>
      <c r="G47" s="11" t="s">
        <v>1530</v>
      </c>
      <c r="H47" s="11" t="n">
        <v>7506093</v>
      </c>
      <c r="I47" s="11" t="n">
        <v>860298</v>
      </c>
      <c r="J47" s="11" t="n">
        <v>2488</v>
      </c>
      <c r="K47" s="11" t="s">
        <v>30</v>
      </c>
      <c r="L47" s="11" t="n">
        <v>81997698223</v>
      </c>
      <c r="M47" s="11" t="s">
        <v>1471</v>
      </c>
      <c r="N47" s="24" t="n">
        <v>45850</v>
      </c>
      <c r="O47" s="25" t="n">
        <f aca="false">INT((N47-D47)/365.25)</f>
        <v>33</v>
      </c>
      <c r="P47" s="12" t="s">
        <v>22</v>
      </c>
    </row>
    <row r="48" customFormat="false" ht="15" hidden="false" customHeight="false" outlineLevel="0" collapsed="false">
      <c r="A48" s="51" t="n">
        <v>44</v>
      </c>
      <c r="B48" s="10" t="n">
        <v>873363</v>
      </c>
      <c r="C48" s="11" t="s">
        <v>1531</v>
      </c>
      <c r="D48" s="12" t="n">
        <v>33239</v>
      </c>
      <c r="E48" s="11" t="s">
        <v>1469</v>
      </c>
      <c r="F48" s="11" t="s">
        <v>151</v>
      </c>
      <c r="G48" s="11" t="s">
        <v>1532</v>
      </c>
      <c r="H48" s="11" t="n">
        <v>3098861</v>
      </c>
      <c r="I48" s="11" t="n">
        <v>4480374</v>
      </c>
      <c r="J48" s="11" t="n">
        <v>50</v>
      </c>
      <c r="K48" s="11" t="s">
        <v>30</v>
      </c>
      <c r="L48" s="11" t="n">
        <v>81997132715</v>
      </c>
      <c r="M48" s="11" t="s">
        <v>1471</v>
      </c>
      <c r="N48" s="24" t="n">
        <v>45850</v>
      </c>
      <c r="O48" s="25" t="n">
        <f aca="false">INT((N48-D48)/365.25)</f>
        <v>34</v>
      </c>
      <c r="P48" s="12" t="s">
        <v>22</v>
      </c>
    </row>
    <row r="49" customFormat="false" ht="15" hidden="false" customHeight="false" outlineLevel="0" collapsed="false">
      <c r="A49" s="51" t="n">
        <v>45</v>
      </c>
      <c r="B49" s="10" t="n">
        <v>873365</v>
      </c>
      <c r="C49" s="11" t="s">
        <v>1533</v>
      </c>
      <c r="D49" s="12" t="n">
        <v>34210</v>
      </c>
      <c r="E49" s="11" t="s">
        <v>1469</v>
      </c>
      <c r="F49" s="11" t="s">
        <v>151</v>
      </c>
      <c r="G49" s="11" t="s">
        <v>1534</v>
      </c>
      <c r="H49" s="11" t="n">
        <v>8597960</v>
      </c>
      <c r="I49" s="11" t="n">
        <v>77304</v>
      </c>
      <c r="J49" s="11" t="n">
        <v>106</v>
      </c>
      <c r="K49" s="11" t="s">
        <v>1483</v>
      </c>
      <c r="L49" s="11" t="n">
        <v>81992157781</v>
      </c>
      <c r="M49" s="11" t="s">
        <v>1471</v>
      </c>
      <c r="N49" s="24" t="n">
        <v>45850</v>
      </c>
      <c r="O49" s="25" t="n">
        <f aca="false">INT((N49-D49)/365.25)</f>
        <v>31</v>
      </c>
      <c r="P49" s="12" t="s">
        <v>22</v>
      </c>
    </row>
    <row r="50" customFormat="false" ht="15" hidden="false" customHeight="false" outlineLevel="0" collapsed="false">
      <c r="A50" s="51" t="n">
        <v>46</v>
      </c>
      <c r="B50" s="10" t="n">
        <v>855975</v>
      </c>
      <c r="C50" s="34" t="s">
        <v>1071</v>
      </c>
      <c r="D50" s="12" t="n">
        <v>35370</v>
      </c>
      <c r="E50" s="11" t="s">
        <v>1469</v>
      </c>
      <c r="F50" s="11" t="s">
        <v>151</v>
      </c>
      <c r="G50" s="11" t="s">
        <v>1072</v>
      </c>
      <c r="H50" s="11" t="n">
        <v>10265333</v>
      </c>
      <c r="I50" s="11" t="n">
        <v>8426655</v>
      </c>
      <c r="J50" s="11" t="n">
        <v>50</v>
      </c>
      <c r="K50" s="11" t="s">
        <v>30</v>
      </c>
      <c r="L50" s="11" t="n">
        <v>81993843479</v>
      </c>
      <c r="M50" s="11" t="s">
        <v>1471</v>
      </c>
      <c r="N50" s="24" t="n">
        <v>45850</v>
      </c>
      <c r="O50" s="25" t="n">
        <f aca="false">INT((N50-D50)/365.25)</f>
        <v>28</v>
      </c>
      <c r="P50" s="12" t="s">
        <v>22</v>
      </c>
    </row>
    <row r="51" customFormat="false" ht="15" hidden="false" customHeight="false" outlineLevel="0" collapsed="false">
      <c r="A51" s="51" t="n">
        <v>47</v>
      </c>
      <c r="B51" s="10" t="n">
        <v>854799</v>
      </c>
      <c r="C51" s="34" t="s">
        <v>1073</v>
      </c>
      <c r="D51" s="12" t="n">
        <v>32771</v>
      </c>
      <c r="E51" s="11" t="s">
        <v>1469</v>
      </c>
      <c r="F51" s="11" t="s">
        <v>151</v>
      </c>
      <c r="G51" s="11" t="s">
        <v>1074</v>
      </c>
      <c r="H51" s="11" t="n">
        <v>8245071</v>
      </c>
      <c r="I51" s="11" t="n">
        <v>900521</v>
      </c>
      <c r="J51" s="11" t="n">
        <v>6433</v>
      </c>
      <c r="K51" s="11" t="s">
        <v>30</v>
      </c>
      <c r="L51" s="11" t="n">
        <v>81994800170</v>
      </c>
      <c r="M51" s="11" t="s">
        <v>1471</v>
      </c>
      <c r="N51" s="24" t="n">
        <v>45850</v>
      </c>
      <c r="O51" s="25" t="n">
        <f aca="false">INT((N51-D51)/365.25)</f>
        <v>35</v>
      </c>
      <c r="P51" s="12" t="s">
        <v>22</v>
      </c>
    </row>
  </sheetData>
  <autoFilter ref="K1:K51"/>
  <mergeCells count="1">
    <mergeCell ref="A1:P2"/>
  </mergeCells>
  <conditionalFormatting sqref="O5:O51">
    <cfRule type="colorScale" priority="2">
      <colorScale>
        <cfvo type="num" val="17"/>
        <cfvo type="num" val="18"/>
        <color rgb="FFFF0000"/>
        <color rgb="FF92D050"/>
      </colorScale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true"/>
  </sheetPr>
  <dimension ref="A1:Q2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29" activeCellId="0" sqref="C29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6.86"/>
    <col collapsed="false" customWidth="true" hidden="false" outlineLevel="0" max="3" min="3" style="0" width="36.29"/>
    <col collapsed="false" customWidth="true" hidden="false" outlineLevel="0" max="4" min="4" style="0" width="9"/>
    <col collapsed="false" customWidth="true" hidden="false" outlineLevel="0" max="5" min="5" style="0" width="15.86"/>
    <col collapsed="false" customWidth="true" hidden="false" outlineLevel="0" max="6" min="6" style="0" width="6.43"/>
    <col collapsed="false" customWidth="true" hidden="false" outlineLevel="0" max="8" min="7" style="0" width="13"/>
    <col collapsed="false" customWidth="true" hidden="false" outlineLevel="0" max="9" min="9" style="0" width="7.72"/>
    <col collapsed="false" customWidth="true" hidden="false" outlineLevel="0" max="10" min="10" style="0" width="5"/>
    <col collapsed="false" customWidth="true" hidden="true" outlineLevel="0" max="11" min="11" style="0" width="6.14"/>
    <col collapsed="false" customWidth="true" hidden="false" outlineLevel="0" max="12" min="12" style="0" width="11.57"/>
    <col collapsed="false" customWidth="true" hidden="false" outlineLevel="0" max="13" min="13" style="0" width="16.86"/>
    <col collapsed="false" customWidth="true" hidden="false" outlineLevel="0" max="14" min="14" style="0" width="9.14"/>
    <col collapsed="false" customWidth="true" hidden="false" outlineLevel="0" max="15" min="15" style="0" width="5.71"/>
    <col collapsed="false" customWidth="true" hidden="false" outlineLevel="0" max="16" min="16" style="0" width="6.29"/>
    <col collapsed="false" customWidth="true" hidden="true" outlineLevel="0" max="17" min="17" style="0" width="10.43"/>
  </cols>
  <sheetData>
    <row r="1" customFormat="false" ht="15" hidden="false" customHeight="false" outlineLevel="0" collapsed="false">
      <c r="A1" s="18" t="s">
        <v>986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customFormat="false" ht="15" hidden="false" customHeight="false" outlineLevel="0" collapsed="false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customFormat="false" ht="15" hidden="false" customHeight="false" outlineLevel="0" collapsed="false">
      <c r="A3" s="43"/>
      <c r="B3" s="44" t="s">
        <v>1</v>
      </c>
      <c r="C3" s="44" t="s">
        <v>2</v>
      </c>
      <c r="D3" s="44" t="s">
        <v>3</v>
      </c>
      <c r="E3" s="44" t="s">
        <v>4</v>
      </c>
      <c r="F3" s="44" t="s">
        <v>5</v>
      </c>
      <c r="G3" s="45" t="s">
        <v>6</v>
      </c>
      <c r="H3" s="44" t="s">
        <v>7</v>
      </c>
      <c r="I3" s="44" t="s">
        <v>8</v>
      </c>
      <c r="J3" s="44" t="s">
        <v>9</v>
      </c>
      <c r="K3" s="44" t="s">
        <v>10</v>
      </c>
      <c r="L3" s="44" t="s">
        <v>1101</v>
      </c>
      <c r="M3" s="44" t="s">
        <v>11</v>
      </c>
      <c r="N3" s="44" t="s">
        <v>12</v>
      </c>
      <c r="O3" s="44" t="s">
        <v>13</v>
      </c>
      <c r="P3" s="44" t="s">
        <v>16</v>
      </c>
    </row>
    <row r="4" customFormat="false" ht="15" hidden="false" customHeight="false" outlineLevel="0" collapsed="false">
      <c r="A4" s="46"/>
      <c r="B4" s="47"/>
      <c r="C4" s="44" t="s">
        <v>987</v>
      </c>
      <c r="D4" s="48"/>
      <c r="E4" s="47"/>
      <c r="F4" s="47"/>
      <c r="G4" s="47"/>
      <c r="H4" s="47"/>
      <c r="I4" s="47"/>
      <c r="J4" s="47"/>
      <c r="K4" s="47"/>
      <c r="L4" s="47"/>
      <c r="M4" s="49"/>
      <c r="N4" s="50"/>
      <c r="O4" s="44"/>
      <c r="P4" s="44"/>
    </row>
    <row r="5" customFormat="false" ht="15" hidden="false" customHeight="false" outlineLevel="0" collapsed="false">
      <c r="A5" s="51" t="n">
        <v>1</v>
      </c>
      <c r="B5" s="10" t="n">
        <v>868309</v>
      </c>
      <c r="C5" s="34" t="s">
        <v>998</v>
      </c>
      <c r="D5" s="12" t="n">
        <v>34234</v>
      </c>
      <c r="E5" s="11" t="s">
        <v>1469</v>
      </c>
      <c r="F5" s="11" t="s">
        <v>151</v>
      </c>
      <c r="G5" s="11" t="s">
        <v>999</v>
      </c>
      <c r="H5" s="11" t="n">
        <v>8703353</v>
      </c>
      <c r="I5" s="11" t="n">
        <v>47438</v>
      </c>
      <c r="J5" s="11" t="n">
        <v>114</v>
      </c>
      <c r="K5" s="11" t="s">
        <v>22</v>
      </c>
      <c r="L5" s="11" t="n">
        <v>81999790485</v>
      </c>
      <c r="M5" s="11" t="s">
        <v>1471</v>
      </c>
      <c r="N5" s="24" t="n">
        <v>45850</v>
      </c>
      <c r="O5" s="25" t="n">
        <f aca="false">INT((N5-D5)/365.25)</f>
        <v>31</v>
      </c>
      <c r="P5" s="12" t="s">
        <v>22</v>
      </c>
    </row>
    <row r="6" customFormat="false" ht="15" hidden="false" customHeight="false" outlineLevel="0" collapsed="false">
      <c r="A6" s="51" t="n">
        <v>2</v>
      </c>
      <c r="B6" s="10" t="n">
        <v>873315</v>
      </c>
      <c r="C6" s="34" t="s">
        <v>1475</v>
      </c>
      <c r="D6" s="12" t="n">
        <v>37900</v>
      </c>
      <c r="E6" s="11" t="s">
        <v>1469</v>
      </c>
      <c r="F6" s="11" t="s">
        <v>151</v>
      </c>
      <c r="G6" s="11" t="s">
        <v>1476</v>
      </c>
      <c r="H6" s="11" t="n">
        <v>10456104</v>
      </c>
      <c r="I6" s="11" t="n">
        <v>1735086</v>
      </c>
      <c r="J6" s="11" t="n">
        <v>8430</v>
      </c>
      <c r="K6" s="11" t="s">
        <v>22</v>
      </c>
      <c r="L6" s="11" t="n">
        <v>81993637309</v>
      </c>
      <c r="M6" s="11" t="s">
        <v>1471</v>
      </c>
      <c r="N6" s="24" t="n">
        <v>45850</v>
      </c>
      <c r="O6" s="25" t="n">
        <f aca="false">INT((N6-D6)/365.25)</f>
        <v>21</v>
      </c>
      <c r="P6" s="12" t="s">
        <v>22</v>
      </c>
    </row>
    <row r="7" customFormat="false" ht="15" hidden="false" customHeight="false" outlineLevel="0" collapsed="false">
      <c r="A7" s="51" t="n">
        <v>3</v>
      </c>
      <c r="B7" s="10" t="n">
        <v>873317</v>
      </c>
      <c r="C7" s="34" t="s">
        <v>1477</v>
      </c>
      <c r="D7" s="12" t="n">
        <v>35815</v>
      </c>
      <c r="E7" s="11" t="s">
        <v>1469</v>
      </c>
      <c r="F7" s="11" t="s">
        <v>151</v>
      </c>
      <c r="G7" s="11" t="s">
        <v>1478</v>
      </c>
      <c r="H7" s="11" t="n">
        <v>9422633</v>
      </c>
      <c r="I7" s="11" t="n">
        <v>7117890</v>
      </c>
      <c r="J7" s="11" t="n">
        <v>60</v>
      </c>
      <c r="K7" s="11" t="s">
        <v>22</v>
      </c>
      <c r="L7" s="11" t="n">
        <v>81986740104</v>
      </c>
      <c r="M7" s="11" t="s">
        <v>1471</v>
      </c>
      <c r="N7" s="24" t="n">
        <v>45850</v>
      </c>
      <c r="O7" s="25" t="n">
        <f aca="false">INT((N7-D7)/365.25)</f>
        <v>27</v>
      </c>
      <c r="P7" s="12" t="s">
        <v>22</v>
      </c>
    </row>
    <row r="8" customFormat="false" ht="15" hidden="false" customHeight="false" outlineLevel="0" collapsed="false">
      <c r="A8" s="51" t="n">
        <v>4</v>
      </c>
      <c r="B8" s="10" t="n">
        <v>868303</v>
      </c>
      <c r="C8" s="34" t="s">
        <v>1006</v>
      </c>
      <c r="D8" s="12" t="n">
        <v>32427</v>
      </c>
      <c r="E8" s="11" t="s">
        <v>1469</v>
      </c>
      <c r="F8" s="11" t="s">
        <v>151</v>
      </c>
      <c r="G8" s="11" t="s">
        <v>1007</v>
      </c>
      <c r="H8" s="11" t="n">
        <v>8044063</v>
      </c>
      <c r="I8" s="11" t="n">
        <v>65097</v>
      </c>
      <c r="J8" s="11" t="n">
        <v>75</v>
      </c>
      <c r="K8" s="11" t="s">
        <v>22</v>
      </c>
      <c r="L8" s="11" t="n">
        <v>81994110601</v>
      </c>
      <c r="M8" s="11" t="s">
        <v>1471</v>
      </c>
      <c r="N8" s="24" t="n">
        <v>45850</v>
      </c>
      <c r="O8" s="25" t="n">
        <f aca="false">INT((N8-D8)/365.25)</f>
        <v>36</v>
      </c>
      <c r="P8" s="12" t="s">
        <v>22</v>
      </c>
    </row>
    <row r="9" customFormat="false" ht="15" hidden="false" customHeight="false" outlineLevel="0" collapsed="false">
      <c r="A9" s="51" t="n">
        <v>5</v>
      </c>
      <c r="B9" s="10" t="n">
        <v>873322</v>
      </c>
      <c r="C9" s="34" t="s">
        <v>1481</v>
      </c>
      <c r="D9" s="12" t="n">
        <v>24962</v>
      </c>
      <c r="E9" s="11" t="s">
        <v>1469</v>
      </c>
      <c r="F9" s="11" t="s">
        <v>151</v>
      </c>
      <c r="G9" s="11" t="s">
        <v>1482</v>
      </c>
      <c r="H9" s="11" t="n">
        <v>3038763</v>
      </c>
      <c r="I9" s="11" t="n">
        <v>5314642</v>
      </c>
      <c r="J9" s="11" t="n">
        <v>5491</v>
      </c>
      <c r="K9" s="11" t="s">
        <v>22</v>
      </c>
      <c r="L9" s="11" t="n">
        <v>81988058984</v>
      </c>
      <c r="M9" s="11" t="s">
        <v>1471</v>
      </c>
      <c r="N9" s="24" t="n">
        <v>45850</v>
      </c>
      <c r="O9" s="25" t="n">
        <f aca="false">INT((N9-D9)/365.25)</f>
        <v>57</v>
      </c>
      <c r="P9" s="12" t="s">
        <v>22</v>
      </c>
    </row>
    <row r="10" customFormat="false" ht="15" hidden="false" customHeight="false" outlineLevel="0" collapsed="false">
      <c r="A10" s="51" t="n">
        <v>6</v>
      </c>
      <c r="B10" s="10" t="n">
        <v>873323</v>
      </c>
      <c r="C10" s="34" t="s">
        <v>1484</v>
      </c>
      <c r="D10" s="12" t="n">
        <v>37120</v>
      </c>
      <c r="E10" s="11" t="s">
        <v>1469</v>
      </c>
      <c r="F10" s="11" t="s">
        <v>151</v>
      </c>
      <c r="G10" s="11" t="s">
        <v>1485</v>
      </c>
      <c r="H10" s="11" t="n">
        <v>11861628</v>
      </c>
      <c r="I10" s="11" t="n">
        <v>7210394</v>
      </c>
      <c r="J10" s="11" t="n">
        <v>451</v>
      </c>
      <c r="K10" s="11" t="s">
        <v>22</v>
      </c>
      <c r="L10" s="11" t="n">
        <v>81973132344</v>
      </c>
      <c r="M10" s="11" t="s">
        <v>1471</v>
      </c>
      <c r="N10" s="24" t="n">
        <v>45850</v>
      </c>
      <c r="O10" s="25" t="n">
        <f aca="false">INT((N10-D10)/365.25)</f>
        <v>23</v>
      </c>
      <c r="P10" s="12" t="s">
        <v>22</v>
      </c>
    </row>
    <row r="11" customFormat="false" ht="15" hidden="false" customHeight="false" outlineLevel="0" collapsed="false">
      <c r="A11" s="51" t="n">
        <v>7</v>
      </c>
      <c r="B11" s="10" t="n">
        <v>873326</v>
      </c>
      <c r="C11" s="34" t="s">
        <v>1488</v>
      </c>
      <c r="D11" s="12" t="n">
        <v>35561</v>
      </c>
      <c r="E11" s="11" t="s">
        <v>1469</v>
      </c>
      <c r="F11" s="11" t="s">
        <v>151</v>
      </c>
      <c r="G11" s="11" t="s">
        <v>1489</v>
      </c>
      <c r="H11" s="11" t="n">
        <v>10026901</v>
      </c>
      <c r="I11" s="11" t="n">
        <v>31046</v>
      </c>
      <c r="J11" s="11" t="n">
        <v>122</v>
      </c>
      <c r="K11" s="11" t="s">
        <v>22</v>
      </c>
      <c r="L11" s="11"/>
      <c r="M11" s="11" t="s">
        <v>1471</v>
      </c>
      <c r="N11" s="24" t="n">
        <v>45850</v>
      </c>
      <c r="O11" s="25" t="n">
        <f aca="false">INT((N11-D11)/365.25)</f>
        <v>28</v>
      </c>
      <c r="P11" s="12" t="s">
        <v>22</v>
      </c>
    </row>
    <row r="12" customFormat="false" ht="15" hidden="false" customHeight="false" outlineLevel="0" collapsed="false">
      <c r="A12" s="51" t="n">
        <v>8</v>
      </c>
      <c r="B12" s="10" t="n">
        <v>868302</v>
      </c>
      <c r="C12" s="34" t="s">
        <v>1024</v>
      </c>
      <c r="D12" s="12" t="n">
        <v>32416</v>
      </c>
      <c r="E12" s="11" t="s">
        <v>1469</v>
      </c>
      <c r="F12" s="11" t="s">
        <v>151</v>
      </c>
      <c r="G12" s="11" t="s">
        <v>1025</v>
      </c>
      <c r="H12" s="11" t="n">
        <v>7916380</v>
      </c>
      <c r="I12" s="11" t="n">
        <v>80048</v>
      </c>
      <c r="J12" s="11" t="n">
        <v>69</v>
      </c>
      <c r="K12" s="11" t="s">
        <v>22</v>
      </c>
      <c r="L12" s="11" t="n">
        <v>81994668310</v>
      </c>
      <c r="M12" s="11" t="s">
        <v>1471</v>
      </c>
      <c r="N12" s="24" t="n">
        <v>45850</v>
      </c>
      <c r="O12" s="25" t="n">
        <f aca="false">INT((N12-D12)/365.25)</f>
        <v>36</v>
      </c>
      <c r="P12" s="12" t="s">
        <v>22</v>
      </c>
    </row>
    <row r="13" customFormat="false" ht="15" hidden="false" customHeight="false" outlineLevel="0" collapsed="false">
      <c r="A13" s="51" t="n">
        <v>9</v>
      </c>
      <c r="B13" s="10" t="n">
        <v>873331</v>
      </c>
      <c r="C13" s="34" t="s">
        <v>1490</v>
      </c>
      <c r="D13" s="12" t="n">
        <v>30973</v>
      </c>
      <c r="E13" s="11" t="s">
        <v>1469</v>
      </c>
      <c r="F13" s="11" t="s">
        <v>151</v>
      </c>
      <c r="G13" s="11" t="s">
        <v>1491</v>
      </c>
      <c r="H13" s="11" t="n">
        <v>721015</v>
      </c>
      <c r="I13" s="11" t="n">
        <v>22851</v>
      </c>
      <c r="J13" s="11" t="n">
        <v>78</v>
      </c>
      <c r="K13" s="11" t="s">
        <v>22</v>
      </c>
      <c r="L13" s="11"/>
      <c r="M13" s="11" t="s">
        <v>1471</v>
      </c>
      <c r="N13" s="24" t="n">
        <v>45850</v>
      </c>
      <c r="O13" s="25" t="n">
        <f aca="false">INT((N13-D13)/365.25)</f>
        <v>40</v>
      </c>
      <c r="P13" s="12" t="s">
        <v>22</v>
      </c>
    </row>
    <row r="14" customFormat="false" ht="15" hidden="false" customHeight="false" outlineLevel="0" collapsed="false">
      <c r="A14" s="51" t="n">
        <v>10</v>
      </c>
      <c r="B14" s="10" t="n">
        <v>873332</v>
      </c>
      <c r="C14" s="34" t="s">
        <v>1492</v>
      </c>
      <c r="D14" s="12" t="n">
        <v>38803</v>
      </c>
      <c r="E14" s="11" t="s">
        <v>1469</v>
      </c>
      <c r="F14" s="11" t="s">
        <v>151</v>
      </c>
      <c r="G14" s="11" t="s">
        <v>1493</v>
      </c>
      <c r="H14" s="11" t="n">
        <v>11629931</v>
      </c>
      <c r="I14" s="11" t="n">
        <v>1176007</v>
      </c>
      <c r="J14" s="11" t="n">
        <v>9486</v>
      </c>
      <c r="K14" s="11" t="s">
        <v>22</v>
      </c>
      <c r="L14" s="11" t="n">
        <v>81994469773</v>
      </c>
      <c r="M14" s="11" t="s">
        <v>1471</v>
      </c>
      <c r="N14" s="24" t="n">
        <v>45850</v>
      </c>
      <c r="O14" s="25" t="n">
        <f aca="false">INT((N14-D14)/365.25)</f>
        <v>19</v>
      </c>
      <c r="P14" s="12" t="s">
        <v>22</v>
      </c>
    </row>
    <row r="15" customFormat="false" ht="15" hidden="false" customHeight="false" outlineLevel="0" collapsed="false">
      <c r="A15" s="51" t="n">
        <v>11</v>
      </c>
      <c r="B15" s="10" t="n">
        <v>868307</v>
      </c>
      <c r="C15" s="34" t="s">
        <v>1028</v>
      </c>
      <c r="D15" s="12" t="n">
        <v>36757</v>
      </c>
      <c r="E15" s="11" t="s">
        <v>1469</v>
      </c>
      <c r="F15" s="11" t="s">
        <v>151</v>
      </c>
      <c r="G15" s="11" t="s">
        <v>1029</v>
      </c>
      <c r="H15" s="11" t="n">
        <v>8478976</v>
      </c>
      <c r="I15" s="11" t="n">
        <v>1158606</v>
      </c>
      <c r="J15" s="11" t="n">
        <v>7420</v>
      </c>
      <c r="K15" s="11" t="s">
        <v>22</v>
      </c>
      <c r="L15" s="11" t="n">
        <v>81992078437</v>
      </c>
      <c r="M15" s="11" t="s">
        <v>1471</v>
      </c>
      <c r="N15" s="24" t="n">
        <v>45850</v>
      </c>
      <c r="O15" s="25" t="n">
        <f aca="false">INT((N15-D15)/365.25)</f>
        <v>24</v>
      </c>
      <c r="P15" s="12" t="s">
        <v>22</v>
      </c>
    </row>
    <row r="16" customFormat="false" ht="15" hidden="false" customHeight="false" outlineLevel="0" collapsed="false">
      <c r="A16" s="51" t="n">
        <v>12</v>
      </c>
      <c r="B16" s="10" t="n">
        <v>873336</v>
      </c>
      <c r="C16" s="34" t="s">
        <v>1500</v>
      </c>
      <c r="D16" s="12" t="n">
        <v>38743</v>
      </c>
      <c r="E16" s="11" t="s">
        <v>1469</v>
      </c>
      <c r="F16" s="11" t="s">
        <v>151</v>
      </c>
      <c r="G16" s="11" t="s">
        <v>1501</v>
      </c>
      <c r="H16" s="11" t="s">
        <v>1502</v>
      </c>
      <c r="I16" s="11" t="n">
        <v>1650834</v>
      </c>
      <c r="J16" s="11" t="n">
        <v>8462</v>
      </c>
      <c r="K16" s="11" t="s">
        <v>22</v>
      </c>
      <c r="L16" s="11" t="n">
        <v>81999587674</v>
      </c>
      <c r="M16" s="11" t="s">
        <v>1471</v>
      </c>
      <c r="N16" s="24" t="n">
        <v>45850</v>
      </c>
      <c r="O16" s="25" t="n">
        <f aca="false">INT((N16-D16)/365.25)</f>
        <v>19</v>
      </c>
      <c r="P16" s="12" t="s">
        <v>22</v>
      </c>
    </row>
    <row r="17" customFormat="false" ht="15" hidden="false" customHeight="false" outlineLevel="0" collapsed="false">
      <c r="A17" s="51" t="n">
        <v>13</v>
      </c>
      <c r="B17" s="10" t="n">
        <v>873348</v>
      </c>
      <c r="C17" s="34" t="s">
        <v>1505</v>
      </c>
      <c r="D17" s="12" t="n">
        <v>37765</v>
      </c>
      <c r="E17" s="11" t="s">
        <v>1469</v>
      </c>
      <c r="F17" s="11" t="s">
        <v>151</v>
      </c>
      <c r="G17" s="11" t="s">
        <v>1506</v>
      </c>
      <c r="H17" s="11" t="n">
        <v>10539228</v>
      </c>
      <c r="I17" s="11" t="n">
        <v>1431729</v>
      </c>
      <c r="J17" s="11" t="n">
        <v>9496</v>
      </c>
      <c r="K17" s="11" t="s">
        <v>22</v>
      </c>
      <c r="L17" s="11" t="n">
        <v>81991651679</v>
      </c>
      <c r="M17" s="11" t="s">
        <v>1471</v>
      </c>
      <c r="N17" s="24" t="n">
        <v>45850</v>
      </c>
      <c r="O17" s="25" t="n">
        <f aca="false">INT((N17-D17)/365.25)</f>
        <v>22</v>
      </c>
      <c r="P17" s="12" t="s">
        <v>22</v>
      </c>
    </row>
    <row r="18" customFormat="false" ht="15" hidden="false" customHeight="false" outlineLevel="0" collapsed="false">
      <c r="A18" s="51" t="n">
        <v>14</v>
      </c>
      <c r="B18" s="10" t="n">
        <v>873349</v>
      </c>
      <c r="C18" s="34" t="s">
        <v>1507</v>
      </c>
      <c r="D18" s="12" t="n">
        <v>31860</v>
      </c>
      <c r="E18" s="11" t="s">
        <v>1469</v>
      </c>
      <c r="F18" s="11" t="s">
        <v>151</v>
      </c>
      <c r="G18" s="11" t="s">
        <v>1508</v>
      </c>
      <c r="H18" s="11" t="n">
        <v>6866673</v>
      </c>
      <c r="I18" s="11" t="n">
        <v>703990</v>
      </c>
      <c r="J18" s="11" t="n">
        <v>3490</v>
      </c>
      <c r="K18" s="11" t="s">
        <v>22</v>
      </c>
      <c r="L18" s="11" t="n">
        <v>81992900982</v>
      </c>
      <c r="M18" s="11" t="s">
        <v>1471</v>
      </c>
      <c r="N18" s="24" t="n">
        <v>45850</v>
      </c>
      <c r="O18" s="25" t="n">
        <f aca="false">INT((N18-D18)/365.25)</f>
        <v>38</v>
      </c>
      <c r="P18" s="12" t="s">
        <v>22</v>
      </c>
    </row>
    <row r="19" customFormat="false" ht="15" hidden="false" customHeight="false" outlineLevel="0" collapsed="false">
      <c r="A19" s="51" t="n">
        <v>15</v>
      </c>
      <c r="B19" s="10" t="n">
        <v>873351</v>
      </c>
      <c r="C19" s="34" t="s">
        <v>1510</v>
      </c>
      <c r="D19" s="12" t="n">
        <v>35022</v>
      </c>
      <c r="E19" s="11" t="s">
        <v>1469</v>
      </c>
      <c r="F19" s="11" t="s">
        <v>151</v>
      </c>
      <c r="G19" s="11" t="s">
        <v>1511</v>
      </c>
      <c r="H19" s="11" t="n">
        <v>8960612</v>
      </c>
      <c r="I19" s="11" t="n">
        <v>1177631</v>
      </c>
      <c r="J19" s="11" t="n">
        <v>7416</v>
      </c>
      <c r="K19" s="11" t="s">
        <v>22</v>
      </c>
      <c r="L19" s="11" t="n">
        <v>81995322764</v>
      </c>
      <c r="M19" s="11" t="s">
        <v>1471</v>
      </c>
      <c r="N19" s="24" t="n">
        <v>45850</v>
      </c>
      <c r="O19" s="25" t="n">
        <f aca="false">INT((N19-D19)/365.25)</f>
        <v>29</v>
      </c>
      <c r="P19" s="12" t="s">
        <v>22</v>
      </c>
    </row>
    <row r="20" customFormat="false" ht="15" hidden="false" customHeight="false" outlineLevel="0" collapsed="false">
      <c r="A20" s="51" t="n">
        <v>16</v>
      </c>
      <c r="B20" s="10" t="n">
        <v>873368</v>
      </c>
      <c r="C20" s="34" t="s">
        <v>1512</v>
      </c>
      <c r="D20" s="12" t="n">
        <v>36781</v>
      </c>
      <c r="E20" s="11" t="s">
        <v>1469</v>
      </c>
      <c r="F20" s="11" t="s">
        <v>151</v>
      </c>
      <c r="G20" s="11" t="s">
        <v>1513</v>
      </c>
      <c r="H20" s="11" t="n">
        <v>10657348</v>
      </c>
      <c r="I20" s="11" t="n">
        <v>1235328</v>
      </c>
      <c r="J20" s="11" t="n">
        <v>9452</v>
      </c>
      <c r="K20" s="11" t="s">
        <v>22</v>
      </c>
      <c r="L20" s="11" t="n">
        <v>81992405368</v>
      </c>
      <c r="M20" s="11" t="s">
        <v>1471</v>
      </c>
      <c r="N20" s="24" t="n">
        <v>45850</v>
      </c>
      <c r="O20" s="25" t="n">
        <f aca="false">INT((N20-D20)/365.25)</f>
        <v>24</v>
      </c>
      <c r="P20" s="12" t="s">
        <v>22</v>
      </c>
      <c r="Q20" s="0" t="s">
        <v>16</v>
      </c>
    </row>
    <row r="21" customFormat="false" ht="15" hidden="false" customHeight="false" outlineLevel="0" collapsed="false">
      <c r="A21" s="51" t="n">
        <v>17</v>
      </c>
      <c r="B21" s="52" t="n">
        <v>855979</v>
      </c>
      <c r="C21" s="53" t="s">
        <v>1055</v>
      </c>
      <c r="D21" s="12" t="n">
        <v>32604</v>
      </c>
      <c r="E21" s="11" t="s">
        <v>1469</v>
      </c>
      <c r="F21" s="11" t="s">
        <v>151</v>
      </c>
      <c r="G21" s="11" t="s">
        <v>1056</v>
      </c>
      <c r="H21" s="11" t="n">
        <v>57787584</v>
      </c>
      <c r="I21" s="11" t="n">
        <v>982326</v>
      </c>
      <c r="J21" s="11" t="n">
        <v>1490</v>
      </c>
      <c r="K21" s="11" t="s">
        <v>22</v>
      </c>
      <c r="L21" s="11" t="n">
        <v>81996536339</v>
      </c>
      <c r="M21" s="11" t="s">
        <v>1471</v>
      </c>
      <c r="N21" s="24" t="n">
        <v>45850</v>
      </c>
      <c r="O21" s="25" t="n">
        <f aca="false">INT((N21-D21)/365.25)</f>
        <v>36</v>
      </c>
      <c r="P21" s="12" t="s">
        <v>22</v>
      </c>
    </row>
    <row r="22" customFormat="false" ht="15" hidden="false" customHeight="false" outlineLevel="0" collapsed="false">
      <c r="A22" s="51" t="n">
        <v>18</v>
      </c>
      <c r="B22" s="10" t="n">
        <v>868268</v>
      </c>
      <c r="C22" s="34" t="s">
        <v>1057</v>
      </c>
      <c r="D22" s="12" t="n">
        <v>31179</v>
      </c>
      <c r="E22" s="11" t="s">
        <v>1469</v>
      </c>
      <c r="F22" s="11" t="s">
        <v>151</v>
      </c>
      <c r="G22" s="11" t="s">
        <v>1058</v>
      </c>
      <c r="H22" s="11" t="s">
        <v>1059</v>
      </c>
      <c r="I22" s="11" t="n">
        <v>81996</v>
      </c>
      <c r="J22" s="11" t="n">
        <v>334</v>
      </c>
      <c r="K22" s="11" t="s">
        <v>22</v>
      </c>
      <c r="L22" s="11" t="n">
        <v>81993508730</v>
      </c>
      <c r="M22" s="11" t="s">
        <v>1471</v>
      </c>
      <c r="N22" s="24" t="n">
        <v>45850</v>
      </c>
      <c r="O22" s="25" t="n">
        <f aca="false">INT((N22-D22)/365.25)</f>
        <v>40</v>
      </c>
      <c r="P22" s="12" t="s">
        <v>22</v>
      </c>
    </row>
    <row r="23" customFormat="false" ht="15" hidden="false" customHeight="false" outlineLevel="0" collapsed="false">
      <c r="A23" s="51" t="n">
        <v>19</v>
      </c>
      <c r="B23" s="10" t="n">
        <v>873354</v>
      </c>
      <c r="C23" s="34" t="s">
        <v>1514</v>
      </c>
      <c r="D23" s="12" t="n">
        <v>36904</v>
      </c>
      <c r="E23" s="11" t="s">
        <v>1469</v>
      </c>
      <c r="F23" s="11" t="s">
        <v>151</v>
      </c>
      <c r="G23" s="11" t="s">
        <v>1515</v>
      </c>
      <c r="H23" s="11" t="n">
        <v>10676153</v>
      </c>
      <c r="I23" s="11" t="n">
        <v>7475849</v>
      </c>
      <c r="J23" s="11" t="n">
        <v>60</v>
      </c>
      <c r="K23" s="11" t="s">
        <v>22</v>
      </c>
      <c r="L23" s="11" t="n">
        <v>81999817129</v>
      </c>
      <c r="M23" s="11" t="s">
        <v>1471</v>
      </c>
      <c r="N23" s="24" t="n">
        <v>45850</v>
      </c>
      <c r="O23" s="25" t="n">
        <f aca="false">INT((N23-D23)/365.25)</f>
        <v>24</v>
      </c>
      <c r="P23" s="12" t="s">
        <v>22</v>
      </c>
    </row>
    <row r="24" customFormat="false" ht="15" hidden="false" customHeight="false" outlineLevel="0" collapsed="false">
      <c r="A24" s="51" t="n">
        <v>20</v>
      </c>
      <c r="B24" s="10" t="n">
        <v>873355</v>
      </c>
      <c r="C24" s="34" t="s">
        <v>1516</v>
      </c>
      <c r="D24" s="12" t="n">
        <v>36918</v>
      </c>
      <c r="E24" s="11" t="s">
        <v>1469</v>
      </c>
      <c r="F24" s="11" t="s">
        <v>151</v>
      </c>
      <c r="G24" s="11" t="s">
        <v>1517</v>
      </c>
      <c r="H24" s="11" t="n">
        <v>10610758</v>
      </c>
      <c r="I24" s="11" t="n">
        <v>7131493</v>
      </c>
      <c r="J24" s="11" t="n">
        <v>2446</v>
      </c>
      <c r="K24" s="11" t="s">
        <v>22</v>
      </c>
      <c r="L24" s="11"/>
      <c r="M24" s="11" t="s">
        <v>1471</v>
      </c>
      <c r="N24" s="24" t="n">
        <v>45850</v>
      </c>
      <c r="O24" s="25" t="n">
        <f aca="false">INT((N24-D24)/365.25)</f>
        <v>24</v>
      </c>
      <c r="P24" s="12" t="s">
        <v>22</v>
      </c>
    </row>
    <row r="25" customFormat="false" ht="15" hidden="false" customHeight="false" outlineLevel="0" collapsed="false">
      <c r="A25" s="51" t="n">
        <v>21</v>
      </c>
      <c r="B25" s="10" t="n">
        <v>873360</v>
      </c>
      <c r="C25" s="34" t="s">
        <v>1520</v>
      </c>
      <c r="D25" s="12" t="n">
        <v>37737</v>
      </c>
      <c r="E25" s="11" t="s">
        <v>1469</v>
      </c>
      <c r="F25" s="11" t="s">
        <v>151</v>
      </c>
      <c r="G25" s="11" t="s">
        <v>1521</v>
      </c>
      <c r="H25" s="11" t="s">
        <v>1522</v>
      </c>
      <c r="I25" s="11" t="n">
        <v>7158946</v>
      </c>
      <c r="J25" s="11" t="n">
        <v>9402</v>
      </c>
      <c r="K25" s="11" t="s">
        <v>22</v>
      </c>
      <c r="L25" s="11" t="n">
        <v>81999031337</v>
      </c>
      <c r="M25" s="11" t="s">
        <v>1471</v>
      </c>
      <c r="N25" s="24" t="n">
        <v>45850</v>
      </c>
      <c r="O25" s="25" t="n">
        <f aca="false">INT((N25-D25)/365.25)</f>
        <v>22</v>
      </c>
      <c r="P25" s="12" t="s">
        <v>22</v>
      </c>
    </row>
    <row r="26" customFormat="false" ht="15" hidden="false" customHeight="false" outlineLevel="0" collapsed="false">
      <c r="A26" s="51" t="n">
        <v>22</v>
      </c>
      <c r="B26" s="10" t="n">
        <v>873361</v>
      </c>
      <c r="C26" s="34" t="s">
        <v>1523</v>
      </c>
      <c r="D26" s="12" t="n">
        <v>38622</v>
      </c>
      <c r="E26" s="11" t="s">
        <v>1469</v>
      </c>
      <c r="F26" s="11" t="s">
        <v>151</v>
      </c>
      <c r="G26" s="11" t="s">
        <v>1524</v>
      </c>
      <c r="H26" s="11" t="n">
        <v>12273679</v>
      </c>
      <c r="I26" s="11" t="n">
        <v>24906</v>
      </c>
      <c r="J26" s="11" t="n">
        <v>9482</v>
      </c>
      <c r="K26" s="11" t="s">
        <v>22</v>
      </c>
      <c r="L26" s="11" t="n">
        <v>81988028435</v>
      </c>
      <c r="M26" s="11" t="s">
        <v>1471</v>
      </c>
      <c r="N26" s="24" t="n">
        <v>45850</v>
      </c>
      <c r="O26" s="25" t="n">
        <f aca="false">INT((N26-D26)/365.25)</f>
        <v>19</v>
      </c>
      <c r="P26" s="12" t="s">
        <v>22</v>
      </c>
    </row>
    <row r="27" customFormat="false" ht="15" hidden="false" customHeight="false" outlineLevel="0" collapsed="false">
      <c r="A27" s="51" t="n">
        <v>23</v>
      </c>
      <c r="B27" s="10" t="n">
        <v>873366</v>
      </c>
      <c r="C27" s="34" t="s">
        <v>1527</v>
      </c>
      <c r="D27" s="12" t="n">
        <v>30877</v>
      </c>
      <c r="E27" s="11" t="s">
        <v>1469</v>
      </c>
      <c r="F27" s="11" t="s">
        <v>151</v>
      </c>
      <c r="G27" s="11" t="s">
        <v>1528</v>
      </c>
      <c r="H27" s="11" t="n">
        <v>6908180</v>
      </c>
      <c r="I27" s="11" t="n">
        <v>32712</v>
      </c>
      <c r="J27" s="11" t="n">
        <v>101</v>
      </c>
      <c r="K27" s="11" t="s">
        <v>22</v>
      </c>
      <c r="L27" s="11" t="n">
        <v>81997338389</v>
      </c>
      <c r="M27" s="11" t="s">
        <v>1471</v>
      </c>
      <c r="N27" s="24" t="n">
        <v>45850</v>
      </c>
      <c r="O27" s="25" t="n">
        <f aca="false">INT((N27-D27)/365.25)</f>
        <v>40</v>
      </c>
      <c r="P27" s="12" t="s">
        <v>22</v>
      </c>
    </row>
    <row r="28" customFormat="false" ht="15" hidden="false" customHeight="false" outlineLevel="0" collapsed="false">
      <c r="A28" s="51" t="n">
        <v>24</v>
      </c>
      <c r="B28" s="10" t="n">
        <v>858374</v>
      </c>
      <c r="C28" s="34" t="s">
        <v>1529</v>
      </c>
      <c r="D28" s="12" t="n">
        <v>33454</v>
      </c>
      <c r="E28" s="11" t="s">
        <v>1469</v>
      </c>
      <c r="F28" s="11" t="s">
        <v>151</v>
      </c>
      <c r="G28" s="11" t="s">
        <v>1530</v>
      </c>
      <c r="H28" s="11" t="n">
        <v>7506093</v>
      </c>
      <c r="I28" s="11" t="n">
        <v>860298</v>
      </c>
      <c r="J28" s="11" t="n">
        <v>2488</v>
      </c>
      <c r="K28" s="11" t="s">
        <v>22</v>
      </c>
      <c r="L28" s="11" t="n">
        <v>81997698223</v>
      </c>
      <c r="M28" s="11" t="s">
        <v>1471</v>
      </c>
      <c r="N28" s="24" t="n">
        <v>45850</v>
      </c>
      <c r="O28" s="25" t="n">
        <f aca="false">INT((N28-D28)/365.25)</f>
        <v>33</v>
      </c>
      <c r="P28" s="12" t="s">
        <v>22</v>
      </c>
    </row>
    <row r="29" customFormat="false" ht="15" hidden="false" customHeight="false" outlineLevel="0" collapsed="false">
      <c r="A29" s="51" t="n">
        <v>25</v>
      </c>
      <c r="B29" s="10" t="n">
        <v>855975</v>
      </c>
      <c r="C29" s="34" t="s">
        <v>1071</v>
      </c>
      <c r="D29" s="12" t="n">
        <v>35370</v>
      </c>
      <c r="E29" s="11" t="s">
        <v>1469</v>
      </c>
      <c r="F29" s="11" t="s">
        <v>151</v>
      </c>
      <c r="G29" s="11" t="s">
        <v>1072</v>
      </c>
      <c r="H29" s="11" t="n">
        <v>10265333</v>
      </c>
      <c r="I29" s="11" t="n">
        <v>8426655</v>
      </c>
      <c r="J29" s="11" t="n">
        <v>50</v>
      </c>
      <c r="K29" s="11" t="s">
        <v>22</v>
      </c>
      <c r="L29" s="11" t="n">
        <v>81993843479</v>
      </c>
      <c r="M29" s="11" t="s">
        <v>1471</v>
      </c>
      <c r="N29" s="24" t="n">
        <v>45850</v>
      </c>
      <c r="O29" s="25" t="n">
        <f aca="false">INT((N29-D29)/365.25)</f>
        <v>28</v>
      </c>
      <c r="P29" s="12" t="s">
        <v>22</v>
      </c>
    </row>
  </sheetData>
  <autoFilter ref="K1:K29"/>
  <mergeCells count="1">
    <mergeCell ref="A1:P2"/>
  </mergeCells>
  <conditionalFormatting sqref="O5:O29">
    <cfRule type="colorScale" priority="2">
      <colorScale>
        <cfvo type="num" val="17"/>
        <cfvo type="num" val="18"/>
        <color rgb="FFFF0000"/>
        <color rgb="FF92D050"/>
      </colorScale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true"/>
  </sheetPr>
  <dimension ref="A1:P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40" activeCellId="0" sqref="C40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6.86"/>
    <col collapsed="false" customWidth="true" hidden="false" outlineLevel="0" max="3" min="3" style="0" width="36.29"/>
    <col collapsed="false" customWidth="true" hidden="false" outlineLevel="0" max="4" min="4" style="0" width="9"/>
    <col collapsed="false" customWidth="true" hidden="false" outlineLevel="0" max="5" min="5" style="0" width="21.57"/>
    <col collapsed="false" customWidth="true" hidden="false" outlineLevel="0" max="6" min="6" style="0" width="6.43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10" min="9" style="0" width="7.72"/>
    <col collapsed="false" customWidth="true" hidden="false" outlineLevel="0" max="11" min="11" style="0" width="7.57"/>
    <col collapsed="false" customWidth="true" hidden="true" outlineLevel="0" max="12" min="12" style="0" width="8.29"/>
    <col collapsed="false" customWidth="true" hidden="false" outlineLevel="0" max="13" min="13" style="0" width="18.29"/>
    <col collapsed="false" customWidth="true" hidden="false" outlineLevel="0" max="14" min="14" style="0" width="9.14"/>
    <col collapsed="false" customWidth="true" hidden="false" outlineLevel="0" max="15" min="15" style="0" width="5.71"/>
    <col collapsed="false" customWidth="true" hidden="false" outlineLevel="0" max="16" min="16" style="0" width="9.43"/>
    <col collapsed="false" customWidth="true" hidden="true" outlineLevel="0" max="17" min="17" style="0" width="10.43"/>
  </cols>
  <sheetData>
    <row r="1" customFormat="false" ht="15" hidden="false" customHeight="false" outlineLevel="0" collapsed="false">
      <c r="A1" s="58" t="s">
        <v>1535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</row>
    <row r="2" customFormat="false" ht="15" hidden="false" customHeight="false" outlineLevel="0" collapsed="false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</row>
    <row r="3" customFormat="false" ht="15" hidden="false" customHeight="false" outlineLevel="0" collapsed="false">
      <c r="A3" s="43"/>
      <c r="B3" s="44" t="s">
        <v>1</v>
      </c>
      <c r="C3" s="44" t="s">
        <v>2</v>
      </c>
      <c r="D3" s="44" t="s">
        <v>3</v>
      </c>
      <c r="E3" s="44" t="s">
        <v>4</v>
      </c>
      <c r="F3" s="44" t="s">
        <v>5</v>
      </c>
      <c r="G3" s="45" t="s">
        <v>6</v>
      </c>
      <c r="H3" s="44" t="s">
        <v>7</v>
      </c>
      <c r="I3" s="44" t="s">
        <v>8</v>
      </c>
      <c r="J3" s="44" t="s">
        <v>9</v>
      </c>
      <c r="K3" s="44" t="s">
        <v>10</v>
      </c>
      <c r="L3" s="44" t="s">
        <v>1101</v>
      </c>
      <c r="M3" s="44" t="s">
        <v>11</v>
      </c>
      <c r="N3" s="44" t="s">
        <v>12</v>
      </c>
      <c r="O3" s="44" t="s">
        <v>13</v>
      </c>
      <c r="P3" s="44" t="s">
        <v>16</v>
      </c>
    </row>
    <row r="4" customFormat="false" ht="15" hidden="false" customHeight="false" outlineLevel="0" collapsed="false">
      <c r="A4" s="46"/>
      <c r="B4" s="47"/>
      <c r="C4" s="44" t="s">
        <v>1536</v>
      </c>
      <c r="D4" s="48"/>
      <c r="E4" s="47"/>
      <c r="F4" s="47"/>
      <c r="G4" s="47"/>
      <c r="H4" s="47"/>
      <c r="I4" s="47"/>
      <c r="J4" s="47"/>
      <c r="K4" s="47"/>
      <c r="L4" s="47"/>
      <c r="M4" s="49"/>
      <c r="N4" s="50"/>
      <c r="O4" s="44"/>
      <c r="P4" s="44"/>
    </row>
    <row r="5" customFormat="false" ht="15" hidden="false" customHeight="false" outlineLevel="0" collapsed="false">
      <c r="A5" s="51" t="n">
        <v>1</v>
      </c>
      <c r="B5" s="10" t="n">
        <v>862161</v>
      </c>
      <c r="C5" s="59" t="s">
        <v>1537</v>
      </c>
      <c r="D5" s="60" t="n">
        <v>28894</v>
      </c>
      <c r="E5" s="10" t="s">
        <v>1538</v>
      </c>
      <c r="F5" s="10" t="s">
        <v>160</v>
      </c>
      <c r="G5" s="10" t="s">
        <v>1539</v>
      </c>
      <c r="H5" s="10" t="s">
        <v>1540</v>
      </c>
      <c r="I5" s="10" t="n">
        <v>537110</v>
      </c>
      <c r="J5" s="10" t="n">
        <v>6405</v>
      </c>
      <c r="K5" s="10" t="s">
        <v>30</v>
      </c>
      <c r="L5" s="10"/>
      <c r="M5" s="11" t="s">
        <v>1541</v>
      </c>
      <c r="N5" s="24" t="n">
        <v>45873</v>
      </c>
      <c r="O5" s="25" t="n">
        <f aca="false">INT((N5-D5)/365.25)</f>
        <v>46</v>
      </c>
      <c r="P5" s="12" t="s">
        <v>22</v>
      </c>
    </row>
    <row r="6" customFormat="false" ht="15" hidden="false" customHeight="false" outlineLevel="0" collapsed="false">
      <c r="A6" s="51" t="n">
        <v>2</v>
      </c>
      <c r="B6" s="10" t="n">
        <v>851590</v>
      </c>
      <c r="C6" s="59" t="s">
        <v>1542</v>
      </c>
      <c r="D6" s="60" t="n">
        <v>31683</v>
      </c>
      <c r="E6" s="10" t="s">
        <v>1538</v>
      </c>
      <c r="F6" s="10" t="s">
        <v>160</v>
      </c>
      <c r="G6" s="10" t="s">
        <v>1543</v>
      </c>
      <c r="H6" s="10" t="s">
        <v>1544</v>
      </c>
      <c r="I6" s="10" t="n">
        <v>1063247</v>
      </c>
      <c r="J6" s="10" t="n">
        <v>1441</v>
      </c>
      <c r="K6" s="10" t="s">
        <v>22</v>
      </c>
      <c r="L6" s="10"/>
      <c r="M6" s="11" t="s">
        <v>1541</v>
      </c>
      <c r="N6" s="24" t="n">
        <v>45873</v>
      </c>
      <c r="O6" s="25" t="n">
        <f aca="false">INT((N6-D6)/365.25)</f>
        <v>38</v>
      </c>
      <c r="P6" s="12" t="s">
        <v>22</v>
      </c>
    </row>
    <row r="7" customFormat="false" ht="15" hidden="false" customHeight="false" outlineLevel="0" collapsed="false">
      <c r="A7" s="51" t="n">
        <v>3</v>
      </c>
      <c r="B7" s="10" t="n">
        <v>874328</v>
      </c>
      <c r="C7" s="59" t="s">
        <v>1545</v>
      </c>
      <c r="D7" s="60" t="n">
        <v>37779</v>
      </c>
      <c r="E7" s="10" t="s">
        <v>1538</v>
      </c>
      <c r="F7" s="10" t="s">
        <v>160</v>
      </c>
      <c r="G7" s="10" t="s">
        <v>1546</v>
      </c>
      <c r="H7" s="10" t="s">
        <v>1547</v>
      </c>
      <c r="I7" s="10" t="n">
        <v>1100080</v>
      </c>
      <c r="J7" s="10" t="n">
        <v>8483</v>
      </c>
      <c r="K7" s="10" t="s">
        <v>30</v>
      </c>
      <c r="L7" s="10"/>
      <c r="M7" s="11" t="s">
        <v>1541</v>
      </c>
      <c r="N7" s="24" t="n">
        <v>45873</v>
      </c>
      <c r="O7" s="25" t="n">
        <f aca="false">INT((N7-D7)/365.25)</f>
        <v>22</v>
      </c>
      <c r="P7" s="12" t="s">
        <v>22</v>
      </c>
    </row>
    <row r="8" customFormat="false" ht="15" hidden="false" customHeight="false" outlineLevel="0" collapsed="false">
      <c r="A8" s="51" t="n">
        <v>4</v>
      </c>
      <c r="B8" s="10" t="n">
        <v>874330</v>
      </c>
      <c r="C8" s="59" t="s">
        <v>1548</v>
      </c>
      <c r="D8" s="60" t="n">
        <v>37224</v>
      </c>
      <c r="E8" s="10" t="s">
        <v>1538</v>
      </c>
      <c r="F8" s="10" t="s">
        <v>160</v>
      </c>
      <c r="G8" s="10" t="s">
        <v>1549</v>
      </c>
      <c r="H8" s="10" t="s">
        <v>1550</v>
      </c>
      <c r="I8" s="10" t="n">
        <v>1401584</v>
      </c>
      <c r="J8" s="10" t="n">
        <v>470</v>
      </c>
      <c r="K8" s="10" t="s">
        <v>22</v>
      </c>
      <c r="L8" s="10"/>
      <c r="M8" s="11" t="s">
        <v>1541</v>
      </c>
      <c r="N8" s="24" t="n">
        <v>45873</v>
      </c>
      <c r="O8" s="25" t="n">
        <f aca="false">INT((N8-D8)/365.25)</f>
        <v>23</v>
      </c>
      <c r="P8" s="12" t="s">
        <v>22</v>
      </c>
    </row>
    <row r="9" customFormat="false" ht="15" hidden="false" customHeight="false" outlineLevel="0" collapsed="false">
      <c r="A9" s="51" t="n">
        <v>5</v>
      </c>
      <c r="B9" s="10" t="n">
        <v>862183</v>
      </c>
      <c r="C9" s="59" t="s">
        <v>1551</v>
      </c>
      <c r="D9" s="60" t="n">
        <v>32637</v>
      </c>
      <c r="E9" s="10" t="s">
        <v>1538</v>
      </c>
      <c r="F9" s="10" t="s">
        <v>160</v>
      </c>
      <c r="G9" s="10" t="s">
        <v>1552</v>
      </c>
      <c r="H9" s="10" t="s">
        <v>1553</v>
      </c>
      <c r="I9" s="10" t="n">
        <v>65201</v>
      </c>
      <c r="J9" s="10" t="n">
        <v>27</v>
      </c>
      <c r="K9" s="10" t="s">
        <v>22</v>
      </c>
      <c r="L9" s="10"/>
      <c r="M9" s="11" t="s">
        <v>1541</v>
      </c>
      <c r="N9" s="24" t="n">
        <v>45873</v>
      </c>
      <c r="O9" s="25" t="n">
        <f aca="false">INT((N9-D9)/365.25)</f>
        <v>36</v>
      </c>
      <c r="P9" s="12" t="s">
        <v>22</v>
      </c>
    </row>
    <row r="10" customFormat="false" ht="15" hidden="false" customHeight="false" outlineLevel="0" collapsed="false">
      <c r="A10" s="51" t="n">
        <v>6</v>
      </c>
      <c r="B10" s="10" t="n">
        <v>874331</v>
      </c>
      <c r="C10" s="59" t="s">
        <v>1554</v>
      </c>
      <c r="D10" s="60" t="n">
        <v>30818</v>
      </c>
      <c r="E10" s="10" t="s">
        <v>1538</v>
      </c>
      <c r="F10" s="10" t="s">
        <v>160</v>
      </c>
      <c r="G10" s="10" t="s">
        <v>1555</v>
      </c>
      <c r="H10" s="10" t="s">
        <v>1556</v>
      </c>
      <c r="I10" s="10" t="n">
        <v>609274</v>
      </c>
      <c r="J10" s="10" t="n">
        <v>7405</v>
      </c>
      <c r="K10" s="10" t="s">
        <v>30</v>
      </c>
      <c r="L10" s="10"/>
      <c r="M10" s="11" t="s">
        <v>1541</v>
      </c>
      <c r="N10" s="24" t="n">
        <v>45873</v>
      </c>
      <c r="O10" s="25" t="n">
        <f aca="false">INT((N10-D10)/365.25)</f>
        <v>41</v>
      </c>
      <c r="P10" s="12" t="s">
        <v>22</v>
      </c>
    </row>
    <row r="11" customFormat="false" ht="15" hidden="false" customHeight="false" outlineLevel="0" collapsed="false">
      <c r="A11" s="51" t="n">
        <v>7</v>
      </c>
      <c r="B11" s="10" t="n">
        <v>874334</v>
      </c>
      <c r="C11" s="59" t="s">
        <v>1557</v>
      </c>
      <c r="D11" s="60" t="n">
        <v>33827</v>
      </c>
      <c r="E11" s="10" t="s">
        <v>1538</v>
      </c>
      <c r="F11" s="10" t="s">
        <v>160</v>
      </c>
      <c r="G11" s="10" t="s">
        <v>1558</v>
      </c>
      <c r="H11" s="10" t="s">
        <v>1559</v>
      </c>
      <c r="I11" s="10" t="n">
        <v>540119</v>
      </c>
      <c r="J11" s="10" t="n">
        <v>7500</v>
      </c>
      <c r="K11" s="10" t="s">
        <v>22</v>
      </c>
      <c r="L11" s="10"/>
      <c r="M11" s="11" t="s">
        <v>1541</v>
      </c>
      <c r="N11" s="24" t="n">
        <v>45873</v>
      </c>
      <c r="O11" s="25" t="n">
        <f aca="false">INT((N11-D11)/365.25)</f>
        <v>32</v>
      </c>
      <c r="P11" s="12" t="s">
        <v>22</v>
      </c>
    </row>
    <row r="12" customFormat="false" ht="15" hidden="false" customHeight="false" outlineLevel="0" collapsed="false">
      <c r="A12" s="51" t="n">
        <v>8</v>
      </c>
      <c r="B12" s="10" t="n">
        <v>862202</v>
      </c>
      <c r="C12" s="59" t="s">
        <v>1560</v>
      </c>
      <c r="D12" s="60" t="n">
        <v>38405</v>
      </c>
      <c r="E12" s="10" t="s">
        <v>1538</v>
      </c>
      <c r="F12" s="10" t="s">
        <v>160</v>
      </c>
      <c r="G12" s="10" t="s">
        <v>1561</v>
      </c>
      <c r="H12" s="10" t="s">
        <v>1562</v>
      </c>
      <c r="I12" s="10" t="n">
        <v>1524423</v>
      </c>
      <c r="J12" s="10" t="n">
        <v>6458</v>
      </c>
      <c r="K12" s="10" t="s">
        <v>22</v>
      </c>
      <c r="L12" s="10"/>
      <c r="M12" s="11" t="s">
        <v>1541</v>
      </c>
      <c r="N12" s="24" t="n">
        <v>45873</v>
      </c>
      <c r="O12" s="25" t="n">
        <f aca="false">INT((N12-D12)/365.25)</f>
        <v>20</v>
      </c>
      <c r="P12" s="12" t="s">
        <v>22</v>
      </c>
    </row>
    <row r="13" customFormat="false" ht="15" hidden="false" customHeight="false" outlineLevel="0" collapsed="false">
      <c r="A13" s="51" t="n">
        <v>9</v>
      </c>
      <c r="B13" s="10" t="n">
        <v>861682</v>
      </c>
      <c r="C13" s="59" t="s">
        <v>1563</v>
      </c>
      <c r="D13" s="60" t="n">
        <v>38809</v>
      </c>
      <c r="E13" s="10" t="s">
        <v>1538</v>
      </c>
      <c r="F13" s="10" t="s">
        <v>160</v>
      </c>
      <c r="G13" s="10" t="s">
        <v>1564</v>
      </c>
      <c r="H13" s="10" t="s">
        <v>1565</v>
      </c>
      <c r="I13" s="10" t="n">
        <v>1051141</v>
      </c>
      <c r="J13" s="10" t="n">
        <v>9589</v>
      </c>
      <c r="K13" s="10" t="s">
        <v>1483</v>
      </c>
      <c r="L13" s="10"/>
      <c r="M13" s="11" t="s">
        <v>1541</v>
      </c>
      <c r="N13" s="24" t="n">
        <v>45873</v>
      </c>
      <c r="O13" s="25" t="n">
        <f aca="false">INT((N13-D13)/365.25)</f>
        <v>19</v>
      </c>
      <c r="P13" s="12" t="s">
        <v>22</v>
      </c>
    </row>
    <row r="14" customFormat="false" ht="15" hidden="false" customHeight="false" outlineLevel="0" collapsed="false">
      <c r="A14" s="51" t="n">
        <v>10</v>
      </c>
      <c r="B14" s="10" t="n">
        <v>874337</v>
      </c>
      <c r="C14" s="59" t="s">
        <v>1566</v>
      </c>
      <c r="D14" s="60" t="n">
        <v>33006</v>
      </c>
      <c r="E14" s="10" t="s">
        <v>1538</v>
      </c>
      <c r="F14" s="10" t="s">
        <v>160</v>
      </c>
      <c r="G14" s="10" t="s">
        <v>1567</v>
      </c>
      <c r="H14" s="10" t="s">
        <v>1568</v>
      </c>
      <c r="I14" s="10" t="n">
        <v>943320</v>
      </c>
      <c r="J14" s="10" t="n">
        <v>1490</v>
      </c>
      <c r="K14" s="10" t="s">
        <v>30</v>
      </c>
      <c r="L14" s="10"/>
      <c r="M14" s="11" t="s">
        <v>1541</v>
      </c>
      <c r="N14" s="24" t="n">
        <v>45873</v>
      </c>
      <c r="O14" s="25" t="n">
        <f aca="false">INT((N14-D14)/365.25)</f>
        <v>35</v>
      </c>
      <c r="P14" s="12" t="s">
        <v>22</v>
      </c>
    </row>
    <row r="15" customFormat="false" ht="15" hidden="false" customHeight="false" outlineLevel="0" collapsed="false">
      <c r="A15" s="51" t="n">
        <v>11</v>
      </c>
      <c r="B15" s="10" t="n">
        <v>851602</v>
      </c>
      <c r="C15" s="59" t="s">
        <v>1569</v>
      </c>
      <c r="D15" s="60" t="n">
        <v>30959</v>
      </c>
      <c r="E15" s="10" t="s">
        <v>1538</v>
      </c>
      <c r="F15" s="10" t="s">
        <v>160</v>
      </c>
      <c r="G15" s="10" t="s">
        <v>1570</v>
      </c>
      <c r="H15" s="10" t="s">
        <v>1571</v>
      </c>
      <c r="I15" s="10" t="n">
        <v>622866</v>
      </c>
      <c r="J15" s="10" t="n">
        <v>8420</v>
      </c>
      <c r="K15" s="10" t="s">
        <v>2</v>
      </c>
      <c r="L15" s="10"/>
      <c r="M15" s="11" t="s">
        <v>1541</v>
      </c>
      <c r="N15" s="24" t="n">
        <v>45873</v>
      </c>
      <c r="O15" s="25" t="n">
        <f aca="false">INT((N15-D15)/365.25)</f>
        <v>40</v>
      </c>
      <c r="P15" s="12" t="s">
        <v>22</v>
      </c>
    </row>
    <row r="16" customFormat="false" ht="15" hidden="false" customHeight="false" outlineLevel="0" collapsed="false">
      <c r="A16" s="51" t="n">
        <v>12</v>
      </c>
      <c r="B16" s="10" t="n">
        <v>874344</v>
      </c>
      <c r="C16" s="59" t="s">
        <v>1572</v>
      </c>
      <c r="D16" s="60" t="n">
        <v>39074</v>
      </c>
      <c r="E16" s="10" t="s">
        <v>1538</v>
      </c>
      <c r="F16" s="10" t="s">
        <v>160</v>
      </c>
      <c r="G16" s="10" t="s">
        <v>1573</v>
      </c>
      <c r="H16" s="10" t="s">
        <v>1574</v>
      </c>
      <c r="I16" s="10" t="n">
        <v>1505505</v>
      </c>
      <c r="J16" s="10" t="n">
        <v>4450</v>
      </c>
      <c r="K16" s="10" t="s">
        <v>30</v>
      </c>
      <c r="L16" s="10"/>
      <c r="M16" s="11" t="s">
        <v>1541</v>
      </c>
      <c r="N16" s="24" t="n">
        <v>45873</v>
      </c>
      <c r="O16" s="25" t="n">
        <f aca="false">INT((N16-D16)/365.25)</f>
        <v>18</v>
      </c>
      <c r="P16" s="12" t="s">
        <v>22</v>
      </c>
    </row>
    <row r="17" customFormat="false" ht="15" hidden="false" customHeight="false" outlineLevel="0" collapsed="false">
      <c r="A17" s="51" t="n">
        <v>13</v>
      </c>
      <c r="B17" s="10" t="n">
        <v>874346</v>
      </c>
      <c r="C17" s="59" t="s">
        <v>1575</v>
      </c>
      <c r="D17" s="60" t="n">
        <v>39176</v>
      </c>
      <c r="E17" s="10" t="s">
        <v>1538</v>
      </c>
      <c r="F17" s="10" t="s">
        <v>160</v>
      </c>
      <c r="G17" s="10" t="s">
        <v>1576</v>
      </c>
      <c r="H17" s="10" t="s">
        <v>1577</v>
      </c>
      <c r="I17" s="10" t="n">
        <v>1501512</v>
      </c>
      <c r="J17" s="10" t="n">
        <v>6417</v>
      </c>
      <c r="K17" s="10" t="s">
        <v>30</v>
      </c>
      <c r="L17" s="10"/>
      <c r="M17" s="11" t="s">
        <v>1541</v>
      </c>
      <c r="N17" s="24" t="n">
        <v>45873</v>
      </c>
      <c r="O17" s="25" t="n">
        <f aca="false">INT((N17-D17)/365.25)</f>
        <v>18</v>
      </c>
      <c r="P17" s="12" t="s">
        <v>22</v>
      </c>
    </row>
    <row r="18" customFormat="false" ht="15" hidden="false" customHeight="false" outlineLevel="0" collapsed="false">
      <c r="A18" s="51" t="n">
        <v>14</v>
      </c>
      <c r="B18" s="10" t="n">
        <v>851592</v>
      </c>
      <c r="C18" s="59" t="s">
        <v>1578</v>
      </c>
      <c r="D18" s="60" t="n">
        <v>37160</v>
      </c>
      <c r="E18" s="10" t="s">
        <v>1538</v>
      </c>
      <c r="F18" s="10" t="s">
        <v>160</v>
      </c>
      <c r="G18" s="10" t="s">
        <v>1579</v>
      </c>
      <c r="H18" s="10" t="s">
        <v>1580</v>
      </c>
      <c r="I18" s="10" t="n">
        <v>1505887</v>
      </c>
      <c r="J18" s="10" t="n">
        <v>6400</v>
      </c>
      <c r="K18" s="10" t="s">
        <v>22</v>
      </c>
      <c r="L18" s="10"/>
      <c r="M18" s="11" t="s">
        <v>1541</v>
      </c>
      <c r="N18" s="24" t="n">
        <v>45873</v>
      </c>
      <c r="O18" s="25" t="n">
        <f aca="false">INT((N18-D18)/365.25)</f>
        <v>23</v>
      </c>
      <c r="P18" s="12" t="s">
        <v>22</v>
      </c>
    </row>
    <row r="19" customFormat="false" ht="15" hidden="false" customHeight="false" outlineLevel="0" collapsed="false">
      <c r="A19" s="51" t="n">
        <v>15</v>
      </c>
      <c r="B19" s="52" t="n">
        <v>874348</v>
      </c>
      <c r="C19" s="59" t="s">
        <v>1581</v>
      </c>
      <c r="D19" s="60" t="n">
        <v>36400</v>
      </c>
      <c r="E19" s="10" t="s">
        <v>1538</v>
      </c>
      <c r="F19" s="10" t="s">
        <v>160</v>
      </c>
      <c r="G19" s="10" t="s">
        <v>1582</v>
      </c>
      <c r="H19" s="10" t="n">
        <v>41307690</v>
      </c>
      <c r="I19" s="10" t="n">
        <v>4283488</v>
      </c>
      <c r="J19" s="10" t="n">
        <v>50</v>
      </c>
      <c r="K19" s="10" t="s">
        <v>22</v>
      </c>
      <c r="L19" s="10"/>
      <c r="M19" s="11" t="s">
        <v>1541</v>
      </c>
      <c r="N19" s="24" t="n">
        <v>45873</v>
      </c>
      <c r="O19" s="25" t="n">
        <f aca="false">INT((N19-D19)/365.25)</f>
        <v>25</v>
      </c>
      <c r="P19" s="12" t="s">
        <v>22</v>
      </c>
    </row>
    <row r="20" customFormat="false" ht="15" hidden="false" customHeight="false" outlineLevel="0" collapsed="false">
      <c r="A20" s="51" t="n">
        <v>16</v>
      </c>
      <c r="B20" s="10" t="n">
        <v>862193</v>
      </c>
      <c r="C20" s="59" t="s">
        <v>1583</v>
      </c>
      <c r="D20" s="60" t="n">
        <v>27876</v>
      </c>
      <c r="E20" s="10" t="s">
        <v>1538</v>
      </c>
      <c r="F20" s="10" t="s">
        <v>160</v>
      </c>
      <c r="G20" s="10" t="s">
        <v>1584</v>
      </c>
      <c r="H20" s="10" t="n">
        <v>1942423</v>
      </c>
      <c r="I20" s="10" t="n">
        <v>403568</v>
      </c>
      <c r="J20" s="10" t="n">
        <v>1458</v>
      </c>
      <c r="K20" s="10" t="s">
        <v>22</v>
      </c>
      <c r="L20" s="10"/>
      <c r="M20" s="11" t="s">
        <v>1541</v>
      </c>
      <c r="N20" s="24" t="n">
        <v>45873</v>
      </c>
      <c r="O20" s="25" t="n">
        <f aca="false">INT((N20-D20)/365.25)</f>
        <v>49</v>
      </c>
      <c r="P20" s="12" t="s">
        <v>22</v>
      </c>
    </row>
    <row r="21" customFormat="false" ht="15" hidden="false" customHeight="false" outlineLevel="0" collapsed="false">
      <c r="A21" s="51" t="n">
        <v>17</v>
      </c>
      <c r="B21" s="10" t="n">
        <v>851646</v>
      </c>
      <c r="C21" s="59" t="s">
        <v>1585</v>
      </c>
      <c r="D21" s="60" t="n">
        <v>33248</v>
      </c>
      <c r="E21" s="10" t="s">
        <v>1586</v>
      </c>
      <c r="F21" s="10" t="s">
        <v>160</v>
      </c>
      <c r="G21" s="10" t="s">
        <v>1587</v>
      </c>
      <c r="H21" s="10" t="s">
        <v>1588</v>
      </c>
      <c r="I21" s="10" t="n">
        <v>65240</v>
      </c>
      <c r="J21" s="10" t="n">
        <v>27</v>
      </c>
      <c r="K21" s="10" t="s">
        <v>30</v>
      </c>
      <c r="L21" s="10"/>
      <c r="M21" s="11" t="s">
        <v>1541</v>
      </c>
      <c r="N21" s="24" t="n">
        <v>45873</v>
      </c>
      <c r="O21" s="25" t="n">
        <f aca="false">INT((N21-D21)/365.25)</f>
        <v>34</v>
      </c>
      <c r="P21" s="12" t="s">
        <v>22</v>
      </c>
    </row>
    <row r="22" customFormat="false" ht="15" hidden="false" customHeight="false" outlineLevel="0" collapsed="false">
      <c r="A22" s="51" t="n">
        <v>18</v>
      </c>
      <c r="B22" s="10" t="n">
        <v>874354</v>
      </c>
      <c r="C22" s="59" t="s">
        <v>1589</v>
      </c>
      <c r="D22" s="60" t="n">
        <v>39128</v>
      </c>
      <c r="E22" s="10" t="s">
        <v>1586</v>
      </c>
      <c r="F22" s="10" t="s">
        <v>160</v>
      </c>
      <c r="G22" s="10" t="s">
        <v>1590</v>
      </c>
      <c r="H22" s="10" t="n">
        <v>45024829</v>
      </c>
      <c r="I22" s="10" t="n">
        <v>1228677</v>
      </c>
      <c r="J22" s="10" t="n">
        <v>2479</v>
      </c>
      <c r="K22" s="10" t="s">
        <v>22</v>
      </c>
      <c r="L22" s="10"/>
      <c r="M22" s="11" t="s">
        <v>1541</v>
      </c>
      <c r="N22" s="24" t="n">
        <v>45873</v>
      </c>
      <c r="O22" s="25" t="n">
        <f aca="false">INT((N22-D22)/365.25)</f>
        <v>18</v>
      </c>
      <c r="P22" s="12" t="s">
        <v>22</v>
      </c>
    </row>
    <row r="23" customFormat="false" ht="15" hidden="false" customHeight="false" outlineLevel="0" collapsed="false">
      <c r="A23" s="51" t="n">
        <v>19</v>
      </c>
      <c r="B23" s="10" t="n">
        <v>862186</v>
      </c>
      <c r="C23" s="59" t="s">
        <v>1591</v>
      </c>
      <c r="D23" s="60" t="n">
        <v>30099</v>
      </c>
      <c r="E23" s="10" t="s">
        <v>1586</v>
      </c>
      <c r="F23" s="10" t="s">
        <v>160</v>
      </c>
      <c r="G23" s="10" t="s">
        <v>1592</v>
      </c>
      <c r="H23" s="10" t="s">
        <v>1593</v>
      </c>
      <c r="I23" s="10" t="n">
        <v>922212</v>
      </c>
      <c r="J23" s="10" t="n">
        <v>2445</v>
      </c>
      <c r="K23" s="10" t="s">
        <v>22</v>
      </c>
      <c r="L23" s="10"/>
      <c r="M23" s="11" t="s">
        <v>1541</v>
      </c>
      <c r="N23" s="24" t="n">
        <v>45873</v>
      </c>
      <c r="O23" s="25" t="n">
        <f aca="false">INT((N23-D23)/365.25)</f>
        <v>43</v>
      </c>
      <c r="P23" s="12" t="s">
        <v>22</v>
      </c>
    </row>
    <row r="24" customFormat="false" ht="15" hidden="false" customHeight="false" outlineLevel="0" collapsed="false">
      <c r="A24" s="51" t="n">
        <v>20</v>
      </c>
      <c r="B24" s="10" t="n">
        <v>862744</v>
      </c>
      <c r="C24" s="59" t="s">
        <v>1594</v>
      </c>
      <c r="D24" s="60" t="n">
        <v>38796</v>
      </c>
      <c r="E24" s="10" t="s">
        <v>1586</v>
      </c>
      <c r="F24" s="10" t="s">
        <v>160</v>
      </c>
      <c r="G24" s="10" t="s">
        <v>1595</v>
      </c>
      <c r="H24" s="10" t="n">
        <v>45103096</v>
      </c>
      <c r="I24" s="10" t="n">
        <v>1138411</v>
      </c>
      <c r="J24" s="10" t="n">
        <v>9493</v>
      </c>
      <c r="K24" s="10" t="s">
        <v>1509</v>
      </c>
      <c r="L24" s="10"/>
      <c r="M24" s="11" t="s">
        <v>1541</v>
      </c>
      <c r="N24" s="24" t="n">
        <v>45873</v>
      </c>
      <c r="O24" s="25" t="n">
        <f aca="false">INT((N24-D24)/365.25)</f>
        <v>19</v>
      </c>
      <c r="P24" s="12" t="s">
        <v>22</v>
      </c>
    </row>
    <row r="25" customFormat="false" ht="15" hidden="false" customHeight="false" outlineLevel="0" collapsed="false">
      <c r="A25" s="51" t="n">
        <v>21</v>
      </c>
      <c r="B25" s="10" t="n">
        <v>874408</v>
      </c>
      <c r="C25" s="59" t="s">
        <v>1596</v>
      </c>
      <c r="D25" s="60" t="n">
        <v>31917</v>
      </c>
      <c r="E25" s="10" t="s">
        <v>1586</v>
      </c>
      <c r="F25" s="10" t="s">
        <v>160</v>
      </c>
      <c r="G25" s="10" t="s">
        <v>1597</v>
      </c>
      <c r="H25" s="10" t="s">
        <v>1598</v>
      </c>
      <c r="I25" s="10" t="n">
        <v>802165</v>
      </c>
      <c r="J25" s="10" t="n">
        <v>6484</v>
      </c>
      <c r="K25" s="10" t="s">
        <v>30</v>
      </c>
      <c r="L25" s="10"/>
      <c r="M25" s="11" t="s">
        <v>1541</v>
      </c>
      <c r="N25" s="24" t="n">
        <v>45873</v>
      </c>
      <c r="O25" s="25" t="n">
        <f aca="false">INT((N25-D25)/365.25)</f>
        <v>38</v>
      </c>
      <c r="P25" s="12" t="s">
        <v>22</v>
      </c>
    </row>
    <row r="26" customFormat="false" ht="15" hidden="false" customHeight="false" outlineLevel="0" collapsed="false">
      <c r="A26" s="51" t="n">
        <v>22</v>
      </c>
      <c r="B26" s="10" t="n">
        <v>862156</v>
      </c>
      <c r="C26" s="59" t="s">
        <v>1599</v>
      </c>
      <c r="D26" s="60" t="n">
        <v>38672</v>
      </c>
      <c r="E26" s="10" t="s">
        <v>1586</v>
      </c>
      <c r="F26" s="10" t="s">
        <v>160</v>
      </c>
      <c r="G26" s="10" t="s">
        <v>1600</v>
      </c>
      <c r="H26" s="10" t="n">
        <v>45221335</v>
      </c>
      <c r="I26" s="10" t="n">
        <v>1384379</v>
      </c>
      <c r="J26" s="10" t="n">
        <v>3476</v>
      </c>
      <c r="K26" s="10" t="s">
        <v>22</v>
      </c>
      <c r="L26" s="10"/>
      <c r="M26" s="11" t="s">
        <v>1541</v>
      </c>
      <c r="N26" s="24" t="n">
        <v>45873</v>
      </c>
      <c r="O26" s="25" t="n">
        <f aca="false">INT((N26-D26)/365.25)</f>
        <v>19</v>
      </c>
      <c r="P26" s="12" t="s">
        <v>22</v>
      </c>
    </row>
    <row r="27" customFormat="false" ht="15" hidden="false" customHeight="false" outlineLevel="0" collapsed="false">
      <c r="A27" s="51" t="n">
        <v>23</v>
      </c>
      <c r="B27" s="10" t="n">
        <v>874411</v>
      </c>
      <c r="C27" s="59" t="s">
        <v>1601</v>
      </c>
      <c r="D27" s="60" t="n">
        <v>33384</v>
      </c>
      <c r="E27" s="10" t="s">
        <v>1586</v>
      </c>
      <c r="F27" s="10" t="s">
        <v>160</v>
      </c>
      <c r="G27" s="10" t="s">
        <v>1602</v>
      </c>
      <c r="H27" s="10" t="s">
        <v>1603</v>
      </c>
      <c r="I27" s="10" t="n">
        <v>1065582</v>
      </c>
      <c r="J27" s="10" t="n">
        <v>5444</v>
      </c>
      <c r="K27" s="10" t="s">
        <v>30</v>
      </c>
      <c r="L27" s="10"/>
      <c r="M27" s="11" t="s">
        <v>1541</v>
      </c>
      <c r="N27" s="24" t="n">
        <v>45873</v>
      </c>
      <c r="O27" s="25" t="n">
        <f aca="false">INT((N27-D27)/365.25)</f>
        <v>34</v>
      </c>
      <c r="P27" s="12" t="s">
        <v>22</v>
      </c>
    </row>
    <row r="28" customFormat="false" ht="15" hidden="false" customHeight="false" outlineLevel="0" collapsed="false">
      <c r="A28" s="51" t="n">
        <v>24</v>
      </c>
      <c r="B28" s="10" t="n">
        <v>851612</v>
      </c>
      <c r="C28" s="59" t="s">
        <v>1604</v>
      </c>
      <c r="D28" s="60" t="n">
        <v>38319</v>
      </c>
      <c r="E28" s="10" t="s">
        <v>1586</v>
      </c>
      <c r="F28" s="10" t="s">
        <v>160</v>
      </c>
      <c r="G28" s="10" t="s">
        <v>1605</v>
      </c>
      <c r="H28" s="10" t="n">
        <v>45146249</v>
      </c>
      <c r="I28" s="10" t="n">
        <v>1490182</v>
      </c>
      <c r="J28" s="10" t="n">
        <v>6409</v>
      </c>
      <c r="K28" s="10" t="s">
        <v>1483</v>
      </c>
      <c r="L28" s="10"/>
      <c r="M28" s="11" t="s">
        <v>1541</v>
      </c>
      <c r="N28" s="24" t="n">
        <v>45873</v>
      </c>
      <c r="O28" s="25" t="n">
        <f aca="false">INT((N28-D28)/365.25)</f>
        <v>20</v>
      </c>
      <c r="P28" s="12" t="s">
        <v>22</v>
      </c>
    </row>
    <row r="29" customFormat="false" ht="15" hidden="false" customHeight="false" outlineLevel="0" collapsed="false">
      <c r="A29" s="51" t="n">
        <v>25</v>
      </c>
      <c r="B29" s="10" t="n">
        <v>851615</v>
      </c>
      <c r="C29" s="59" t="s">
        <v>1606</v>
      </c>
      <c r="D29" s="60" t="n">
        <v>34213</v>
      </c>
      <c r="E29" s="10" t="s">
        <v>1586</v>
      </c>
      <c r="F29" s="10" t="s">
        <v>160</v>
      </c>
      <c r="G29" s="10" t="s">
        <v>1607</v>
      </c>
      <c r="H29" s="10" t="s">
        <v>1608</v>
      </c>
      <c r="I29" s="10" t="n">
        <v>1059645</v>
      </c>
      <c r="J29" s="10" t="n">
        <v>9436</v>
      </c>
      <c r="K29" s="10" t="s">
        <v>30</v>
      </c>
      <c r="L29" s="10"/>
      <c r="M29" s="11" t="s">
        <v>1541</v>
      </c>
      <c r="N29" s="24" t="n">
        <v>45873</v>
      </c>
      <c r="O29" s="25" t="n">
        <f aca="false">INT((N29-D29)/365.25)</f>
        <v>31</v>
      </c>
      <c r="P29" s="12" t="s">
        <v>22</v>
      </c>
    </row>
    <row r="30" customFormat="false" ht="15" hidden="false" customHeight="false" outlineLevel="0" collapsed="false">
      <c r="A30" s="51" t="n">
        <v>26</v>
      </c>
      <c r="B30" s="10" t="n">
        <v>874414</v>
      </c>
      <c r="C30" s="59" t="s">
        <v>1609</v>
      </c>
      <c r="D30" s="60" t="n">
        <v>39210</v>
      </c>
      <c r="E30" s="10" t="s">
        <v>1586</v>
      </c>
      <c r="F30" s="10" t="s">
        <v>160</v>
      </c>
      <c r="G30" s="10" t="s">
        <v>1610</v>
      </c>
      <c r="H30" s="10" t="s">
        <v>1611</v>
      </c>
      <c r="I30" s="10" t="n">
        <v>7099833</v>
      </c>
      <c r="J30" s="10" t="n">
        <v>1465</v>
      </c>
      <c r="K30" s="10" t="s">
        <v>22</v>
      </c>
      <c r="L30" s="10"/>
      <c r="M30" s="11" t="s">
        <v>1541</v>
      </c>
      <c r="N30" s="24" t="n">
        <v>45873</v>
      </c>
      <c r="O30" s="25" t="n">
        <f aca="false">INT((N30-D30)/365.25)</f>
        <v>18</v>
      </c>
      <c r="P30" s="12" t="s">
        <v>22</v>
      </c>
    </row>
    <row r="31" customFormat="false" ht="15" hidden="false" customHeight="false" outlineLevel="0" collapsed="false">
      <c r="A31" s="51" t="n">
        <v>27</v>
      </c>
      <c r="B31" s="10" t="n">
        <v>874425</v>
      </c>
      <c r="C31" s="59" t="s">
        <v>1612</v>
      </c>
      <c r="D31" s="60" t="n">
        <v>36884</v>
      </c>
      <c r="E31" s="10" t="s">
        <v>1586</v>
      </c>
      <c r="F31" s="10" t="s">
        <v>160</v>
      </c>
      <c r="G31" s="10" t="s">
        <v>1613</v>
      </c>
      <c r="H31" s="10" t="s">
        <v>1614</v>
      </c>
      <c r="I31" s="10" t="n">
        <v>7109699</v>
      </c>
      <c r="J31" s="10" t="n">
        <v>1454</v>
      </c>
      <c r="K31" s="10" t="s">
        <v>30</v>
      </c>
      <c r="L31" s="10"/>
      <c r="M31" s="11" t="s">
        <v>1541</v>
      </c>
      <c r="N31" s="24" t="n">
        <v>45873</v>
      </c>
      <c r="O31" s="25" t="n">
        <f aca="false">INT((N31-D31)/365.25)</f>
        <v>24</v>
      </c>
      <c r="P31" s="12" t="s">
        <v>22</v>
      </c>
    </row>
    <row r="32" customFormat="false" ht="15" hidden="false" customHeight="false" outlineLevel="0" collapsed="false">
      <c r="A32" s="51" t="n">
        <v>28</v>
      </c>
      <c r="B32" s="10" t="n">
        <v>874417</v>
      </c>
      <c r="C32" s="59" t="s">
        <v>1615</v>
      </c>
      <c r="D32" s="60" t="n">
        <v>28162</v>
      </c>
      <c r="E32" s="10" t="s">
        <v>1586</v>
      </c>
      <c r="F32" s="10" t="s">
        <v>160</v>
      </c>
      <c r="G32" s="10" t="s">
        <v>1616</v>
      </c>
      <c r="H32" s="10" t="n">
        <v>1788400</v>
      </c>
      <c r="I32" s="10" t="n">
        <v>489225</v>
      </c>
      <c r="J32" s="10" t="n">
        <v>473</v>
      </c>
      <c r="K32" s="10" t="s">
        <v>22</v>
      </c>
      <c r="L32" s="10"/>
      <c r="M32" s="11" t="s">
        <v>1541</v>
      </c>
      <c r="N32" s="24" t="n">
        <v>45873</v>
      </c>
      <c r="O32" s="25" t="n">
        <f aca="false">INT((N32-D32)/365.25)</f>
        <v>48</v>
      </c>
      <c r="P32" s="12" t="s">
        <v>22</v>
      </c>
    </row>
    <row r="33" customFormat="false" ht="15" hidden="false" customHeight="false" outlineLevel="0" collapsed="false">
      <c r="A33" s="51" t="n">
        <v>29</v>
      </c>
      <c r="B33" s="10" t="n">
        <v>874505</v>
      </c>
      <c r="C33" s="59" t="s">
        <v>1617</v>
      </c>
      <c r="D33" s="60" t="n">
        <v>35544</v>
      </c>
      <c r="E33" s="10" t="s">
        <v>1586</v>
      </c>
      <c r="F33" s="10" t="s">
        <v>160</v>
      </c>
      <c r="G33" s="10" t="s">
        <v>1618</v>
      </c>
      <c r="H33" s="10" t="n">
        <v>45158776</v>
      </c>
      <c r="I33" s="10" t="n">
        <v>7205887</v>
      </c>
      <c r="J33" s="10" t="n">
        <v>4455</v>
      </c>
      <c r="K33" s="10" t="s">
        <v>22</v>
      </c>
      <c r="L33" s="10"/>
      <c r="M33" s="11" t="s">
        <v>1541</v>
      </c>
      <c r="N33" s="24" t="n">
        <v>45873</v>
      </c>
      <c r="O33" s="25" t="n">
        <f aca="false">INT((N33-D33)/365.25)</f>
        <v>28</v>
      </c>
      <c r="P33" s="12" t="s">
        <v>22</v>
      </c>
    </row>
    <row r="34" customFormat="false" ht="15" hidden="false" customHeight="false" outlineLevel="0" collapsed="false">
      <c r="A34" s="51" t="n">
        <v>30</v>
      </c>
      <c r="B34" s="10" t="n">
        <v>862158</v>
      </c>
      <c r="C34" s="59" t="s">
        <v>1619</v>
      </c>
      <c r="D34" s="60" t="n">
        <v>36276</v>
      </c>
      <c r="E34" s="10" t="s">
        <v>1586</v>
      </c>
      <c r="F34" s="10" t="s">
        <v>160</v>
      </c>
      <c r="G34" s="10" t="s">
        <v>1620</v>
      </c>
      <c r="H34" s="10" t="s">
        <v>1621</v>
      </c>
      <c r="I34" s="10" t="n">
        <v>606776</v>
      </c>
      <c r="J34" s="10" t="n">
        <v>3540</v>
      </c>
      <c r="K34" s="10" t="s">
        <v>22</v>
      </c>
      <c r="L34" s="10"/>
      <c r="M34" s="11" t="s">
        <v>1541</v>
      </c>
      <c r="N34" s="24" t="n">
        <v>45873</v>
      </c>
      <c r="O34" s="25" t="n">
        <f aca="false">INT((N34-D34)/365.25)</f>
        <v>26</v>
      </c>
      <c r="P34" s="12" t="s">
        <v>22</v>
      </c>
    </row>
    <row r="35" customFormat="false" ht="15" hidden="false" customHeight="false" outlineLevel="0" collapsed="false">
      <c r="A35" s="51" t="n">
        <v>31</v>
      </c>
      <c r="B35" s="10" t="n">
        <v>874424</v>
      </c>
      <c r="C35" s="59" t="s">
        <v>1622</v>
      </c>
      <c r="D35" s="60" t="n">
        <v>38460</v>
      </c>
      <c r="E35" s="10" t="s">
        <v>1586</v>
      </c>
      <c r="F35" s="10" t="s">
        <v>160</v>
      </c>
      <c r="G35" s="10" t="s">
        <v>1623</v>
      </c>
      <c r="H35" s="10" t="n">
        <v>45139004</v>
      </c>
      <c r="I35" s="10" t="n">
        <v>1505549</v>
      </c>
      <c r="J35" s="10" t="n">
        <v>8478</v>
      </c>
      <c r="K35" s="10" t="s">
        <v>22</v>
      </c>
      <c r="L35" s="10"/>
      <c r="M35" s="11" t="s">
        <v>1541</v>
      </c>
      <c r="N35" s="24" t="n">
        <v>45873</v>
      </c>
      <c r="O35" s="25" t="n">
        <f aca="false">INT((N35-D35)/365.25)</f>
        <v>20</v>
      </c>
      <c r="P35" s="12" t="s">
        <v>22</v>
      </c>
    </row>
  </sheetData>
  <autoFilter ref="K1:K35"/>
  <mergeCells count="1">
    <mergeCell ref="A1:P2"/>
  </mergeCells>
  <conditionalFormatting sqref="O5:O35">
    <cfRule type="colorScale" priority="2">
      <colorScale>
        <cfvo type="num" val="17"/>
        <cfvo type="num" val="18"/>
        <color rgb="FFFF0000"/>
        <color rgb="FF92D050"/>
      </colorScale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true"/>
  </sheetPr>
  <dimension ref="A1:P44"/>
  <sheetViews>
    <sheetView showFormulas="false" showGridLines="true" showRowColHeaders="true" showZeros="true" rightToLeft="false" tabSelected="false" showOutlineSymbols="true" defaultGridColor="true" view="normal" topLeftCell="A28" colorId="64" zoomScale="90" zoomScaleNormal="90" zoomScalePageLayoutView="100" workbookViewId="0">
      <selection pane="topLeft" activeCell="E25" activeCellId="0" sqref="E25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8.72"/>
    <col collapsed="false" customWidth="true" hidden="false" outlineLevel="0" max="3" min="3" style="0" width="32.86"/>
    <col collapsed="false" customWidth="true" hidden="false" outlineLevel="0" max="4" min="4" style="0" width="9"/>
    <col collapsed="false" customWidth="true" hidden="false" outlineLevel="0" max="5" min="5" style="0" width="21"/>
    <col collapsed="false" customWidth="true" hidden="false" outlineLevel="0" max="6" min="6" style="0" width="6.43"/>
    <col collapsed="false" customWidth="true" hidden="false" outlineLevel="0" max="8" min="7" style="0" width="13"/>
    <col collapsed="false" customWidth="true" hidden="false" outlineLevel="0" max="9" min="9" style="0" width="7.72"/>
    <col collapsed="false" customWidth="true" hidden="false" outlineLevel="0" max="10" min="10" style="0" width="5"/>
    <col collapsed="false" customWidth="true" hidden="true" outlineLevel="0" max="11" min="11" style="0" width="6.14"/>
    <col collapsed="false" customWidth="true" hidden="true" outlineLevel="0" max="12" min="12" style="0" width="11.57"/>
    <col collapsed="false" customWidth="true" hidden="false" outlineLevel="0" max="13" min="13" style="0" width="18.29"/>
    <col collapsed="false" customWidth="true" hidden="false" outlineLevel="0" max="14" min="14" style="0" width="9.14"/>
    <col collapsed="false" customWidth="true" hidden="false" outlineLevel="0" max="15" min="15" style="0" width="5.71"/>
    <col collapsed="false" customWidth="true" hidden="false" outlineLevel="0" max="16" min="16" style="0" width="6.29"/>
    <col collapsed="false" customWidth="true" hidden="true" outlineLevel="0" max="17" min="17" style="0" width="10.43"/>
  </cols>
  <sheetData>
    <row r="1" customFormat="false" ht="15" hidden="false" customHeight="false" outlineLevel="0" collapsed="false">
      <c r="A1" s="18" t="s">
        <v>986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customFormat="false" ht="15" hidden="false" customHeight="false" outlineLevel="0" collapsed="false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customFormat="false" ht="15" hidden="false" customHeight="false" outlineLevel="0" collapsed="false">
      <c r="A3" s="43"/>
      <c r="B3" s="44" t="s">
        <v>1</v>
      </c>
      <c r="C3" s="44" t="s">
        <v>2</v>
      </c>
      <c r="D3" s="44" t="s">
        <v>3</v>
      </c>
      <c r="E3" s="44" t="s">
        <v>4</v>
      </c>
      <c r="F3" s="44" t="s">
        <v>5</v>
      </c>
      <c r="G3" s="45" t="s">
        <v>6</v>
      </c>
      <c r="H3" s="44" t="s">
        <v>7</v>
      </c>
      <c r="I3" s="44" t="s">
        <v>8</v>
      </c>
      <c r="J3" s="44" t="s">
        <v>9</v>
      </c>
      <c r="K3" s="44" t="s">
        <v>10</v>
      </c>
      <c r="L3" s="44" t="s">
        <v>1101</v>
      </c>
      <c r="M3" s="44" t="s">
        <v>11</v>
      </c>
      <c r="N3" s="44" t="s">
        <v>12</v>
      </c>
      <c r="O3" s="44" t="s">
        <v>13</v>
      </c>
      <c r="P3" s="44" t="s">
        <v>16</v>
      </c>
    </row>
    <row r="4" customFormat="false" ht="15" hidden="false" customHeight="false" outlineLevel="0" collapsed="false">
      <c r="A4" s="46"/>
      <c r="B4" s="47"/>
      <c r="C4" s="44" t="s">
        <v>1624</v>
      </c>
      <c r="D4" s="48"/>
      <c r="E4" s="47"/>
      <c r="F4" s="47"/>
      <c r="G4" s="47"/>
      <c r="H4" s="47"/>
      <c r="I4" s="47"/>
      <c r="J4" s="47"/>
      <c r="K4" s="47"/>
      <c r="L4" s="47"/>
      <c r="M4" s="49"/>
      <c r="N4" s="50"/>
      <c r="O4" s="44"/>
      <c r="P4" s="44"/>
    </row>
    <row r="5" customFormat="false" ht="15" hidden="false" customHeight="false" outlineLevel="0" collapsed="false">
      <c r="A5" s="51" t="n">
        <v>1</v>
      </c>
      <c r="B5" s="10" t="n">
        <v>851737</v>
      </c>
      <c r="C5" s="10" t="s">
        <v>1625</v>
      </c>
      <c r="D5" s="60" t="n">
        <v>38139</v>
      </c>
      <c r="E5" s="10" t="s">
        <v>1586</v>
      </c>
      <c r="F5" s="61" t="s">
        <v>160</v>
      </c>
      <c r="G5" s="10" t="s">
        <v>1626</v>
      </c>
      <c r="H5" s="10" t="n">
        <v>45205191</v>
      </c>
      <c r="I5" s="10" t="n">
        <v>1464774</v>
      </c>
      <c r="J5" s="10" t="n">
        <v>3407</v>
      </c>
      <c r="K5" s="10" t="s">
        <v>22</v>
      </c>
      <c r="L5" s="10" t="n">
        <v>82982313310</v>
      </c>
      <c r="M5" s="11" t="s">
        <v>1627</v>
      </c>
      <c r="N5" s="24" t="n">
        <v>45881</v>
      </c>
      <c r="O5" s="25" t="n">
        <f aca="false">INT((N5-D5)/365.25)</f>
        <v>21</v>
      </c>
      <c r="P5" s="12" t="s">
        <v>22</v>
      </c>
    </row>
    <row r="6" customFormat="false" ht="15" hidden="false" customHeight="false" outlineLevel="0" collapsed="false">
      <c r="A6" s="51" t="n">
        <v>2</v>
      </c>
      <c r="B6" s="10" t="n">
        <v>874748</v>
      </c>
      <c r="C6" s="10" t="s">
        <v>1628</v>
      </c>
      <c r="D6" s="60" t="n">
        <v>38385</v>
      </c>
      <c r="E6" s="10" t="s">
        <v>1586</v>
      </c>
      <c r="F6" s="61" t="s">
        <v>160</v>
      </c>
      <c r="G6" s="10" t="s">
        <v>1629</v>
      </c>
      <c r="H6" s="10" t="n">
        <v>45156606</v>
      </c>
      <c r="I6" s="10" t="n">
        <v>1534606</v>
      </c>
      <c r="J6" s="10" t="n">
        <v>3439</v>
      </c>
      <c r="K6" s="10" t="s">
        <v>22</v>
      </c>
      <c r="L6" s="10" t="n">
        <v>82999681832</v>
      </c>
      <c r="M6" s="11" t="s">
        <v>1627</v>
      </c>
      <c r="N6" s="24" t="n">
        <v>45881</v>
      </c>
      <c r="O6" s="25" t="n">
        <f aca="false">INT((N6-D6)/365.25)</f>
        <v>20</v>
      </c>
      <c r="P6" s="12" t="s">
        <v>22</v>
      </c>
    </row>
    <row r="7" customFormat="false" ht="15" hidden="false" customHeight="false" outlineLevel="0" collapsed="false">
      <c r="A7" s="51" t="n">
        <v>3</v>
      </c>
      <c r="B7" s="10" t="n">
        <v>874754</v>
      </c>
      <c r="C7" s="10" t="s">
        <v>1630</v>
      </c>
      <c r="D7" s="60" t="n">
        <v>36320</v>
      </c>
      <c r="E7" s="10" t="s">
        <v>1586</v>
      </c>
      <c r="F7" s="61" t="s">
        <v>160</v>
      </c>
      <c r="G7" s="10" t="s">
        <v>1631</v>
      </c>
      <c r="H7" s="10" t="s">
        <v>1632</v>
      </c>
      <c r="I7" s="10" t="n">
        <v>1349716</v>
      </c>
      <c r="J7" s="10" t="n">
        <v>5450</v>
      </c>
      <c r="K7" s="10" t="s">
        <v>22</v>
      </c>
      <c r="L7" s="10" t="n">
        <v>31972311834</v>
      </c>
      <c r="M7" s="11" t="s">
        <v>1627</v>
      </c>
      <c r="N7" s="24" t="n">
        <v>45881</v>
      </c>
      <c r="O7" s="25" t="n">
        <f aca="false">INT((N7-D7)/365.25)</f>
        <v>26</v>
      </c>
      <c r="P7" s="12" t="s">
        <v>22</v>
      </c>
    </row>
    <row r="8" customFormat="false" ht="15" hidden="false" customHeight="false" outlineLevel="0" collapsed="false">
      <c r="A8" s="51" t="n">
        <v>4</v>
      </c>
      <c r="B8" s="10" t="n">
        <v>862132</v>
      </c>
      <c r="C8" s="10" t="s">
        <v>1633</v>
      </c>
      <c r="D8" s="60" t="n">
        <v>34868</v>
      </c>
      <c r="E8" s="10" t="s">
        <v>1538</v>
      </c>
      <c r="F8" s="61" t="s">
        <v>160</v>
      </c>
      <c r="G8" s="10" t="s">
        <v>1634</v>
      </c>
      <c r="H8" s="10" t="s">
        <v>1635</v>
      </c>
      <c r="I8" s="10" t="n">
        <v>941312</v>
      </c>
      <c r="J8" s="10" t="n">
        <v>5422</v>
      </c>
      <c r="K8" s="10" t="s">
        <v>22</v>
      </c>
      <c r="L8" s="10" t="n">
        <v>82996635242</v>
      </c>
      <c r="M8" s="11" t="s">
        <v>1627</v>
      </c>
      <c r="N8" s="24" t="n">
        <v>45881</v>
      </c>
      <c r="O8" s="25" t="n">
        <f aca="false">INT((N8-D8)/365.25)</f>
        <v>30</v>
      </c>
      <c r="P8" s="12" t="s">
        <v>22</v>
      </c>
    </row>
    <row r="9" customFormat="false" ht="15" hidden="false" customHeight="false" outlineLevel="0" collapsed="false">
      <c r="A9" s="51" t="n">
        <v>5</v>
      </c>
      <c r="B9" s="10" t="n">
        <v>874404</v>
      </c>
      <c r="C9" s="10" t="s">
        <v>1636</v>
      </c>
      <c r="D9" s="60" t="n">
        <v>35793</v>
      </c>
      <c r="E9" s="10" t="s">
        <v>1586</v>
      </c>
      <c r="F9" s="61" t="s">
        <v>160</v>
      </c>
      <c r="G9" s="10" t="s">
        <v>1637</v>
      </c>
      <c r="H9" s="10" t="s">
        <v>1638</v>
      </c>
      <c r="I9" s="10" t="n">
        <v>7089170</v>
      </c>
      <c r="J9" s="10" t="n">
        <v>471</v>
      </c>
      <c r="K9" s="10" t="s">
        <v>22</v>
      </c>
      <c r="L9" s="10" t="n">
        <v>82981281198</v>
      </c>
      <c r="M9" s="11" t="s">
        <v>1627</v>
      </c>
      <c r="N9" s="24" t="n">
        <v>45881</v>
      </c>
      <c r="O9" s="25" t="n">
        <f aca="false">INT((N9-D9)/365.25)</f>
        <v>27</v>
      </c>
      <c r="P9" s="12" t="s">
        <v>22</v>
      </c>
    </row>
    <row r="10" customFormat="false" ht="15" hidden="false" customHeight="false" outlineLevel="0" collapsed="false">
      <c r="A10" s="51" t="n">
        <v>6</v>
      </c>
      <c r="B10" s="10" t="n">
        <v>874005</v>
      </c>
      <c r="C10" s="10" t="s">
        <v>1639</v>
      </c>
      <c r="D10" s="60" t="n">
        <v>36346</v>
      </c>
      <c r="E10" s="10" t="s">
        <v>1538</v>
      </c>
      <c r="F10" s="61" t="s">
        <v>160</v>
      </c>
      <c r="G10" s="10" t="s">
        <v>1640</v>
      </c>
      <c r="H10" s="10" t="n">
        <v>40936449</v>
      </c>
      <c r="I10" s="10" t="n">
        <v>4284686</v>
      </c>
      <c r="J10" s="10" t="n">
        <v>50</v>
      </c>
      <c r="K10" s="10" t="s">
        <v>22</v>
      </c>
      <c r="L10" s="10" t="n">
        <v>82987505330</v>
      </c>
      <c r="M10" s="11" t="s">
        <v>1627</v>
      </c>
      <c r="N10" s="24" t="n">
        <v>45881</v>
      </c>
      <c r="O10" s="25" t="n">
        <f aca="false">INT((N10-D10)/365.25)</f>
        <v>26</v>
      </c>
      <c r="P10" s="12" t="s">
        <v>22</v>
      </c>
    </row>
    <row r="11" customFormat="false" ht="15" hidden="false" customHeight="false" outlineLevel="0" collapsed="false">
      <c r="A11" s="51" t="n">
        <v>7</v>
      </c>
      <c r="B11" s="10" t="n">
        <v>874463</v>
      </c>
      <c r="C11" s="10" t="s">
        <v>1641</v>
      </c>
      <c r="D11" s="60" t="n">
        <v>36201</v>
      </c>
      <c r="E11" s="10" t="s">
        <v>1586</v>
      </c>
      <c r="F11" s="61" t="s">
        <v>160</v>
      </c>
      <c r="G11" s="10" t="s">
        <v>1642</v>
      </c>
      <c r="H11" s="10" t="s">
        <v>1643</v>
      </c>
      <c r="I11" s="10" t="n">
        <v>1377095</v>
      </c>
      <c r="J11" s="10" t="n">
        <v>9400</v>
      </c>
      <c r="K11" s="10" t="s">
        <v>22</v>
      </c>
      <c r="L11" s="10" t="n">
        <v>82999068933</v>
      </c>
      <c r="M11" s="11" t="s">
        <v>1627</v>
      </c>
      <c r="N11" s="24" t="n">
        <v>45881</v>
      </c>
      <c r="O11" s="25" t="n">
        <f aca="false">INT((N11-D11)/365.25)</f>
        <v>26</v>
      </c>
      <c r="P11" s="12" t="s">
        <v>22</v>
      </c>
    </row>
    <row r="12" customFormat="false" ht="15" hidden="false" customHeight="false" outlineLevel="0" collapsed="false">
      <c r="A12" s="51" t="n">
        <v>8</v>
      </c>
      <c r="B12" s="10" t="n">
        <v>874749</v>
      </c>
      <c r="C12" s="10" t="s">
        <v>1644</v>
      </c>
      <c r="D12" s="60" t="n">
        <v>37891</v>
      </c>
      <c r="E12" s="10" t="s">
        <v>1586</v>
      </c>
      <c r="F12" s="61" t="s">
        <v>160</v>
      </c>
      <c r="G12" s="10" t="s">
        <v>1645</v>
      </c>
      <c r="H12" s="10" t="n">
        <v>45124141</v>
      </c>
      <c r="I12" s="10" t="n">
        <v>1136091</v>
      </c>
      <c r="J12" s="10" t="n">
        <v>407</v>
      </c>
      <c r="K12" s="10" t="s">
        <v>22</v>
      </c>
      <c r="L12" s="10" t="n">
        <v>82987634237</v>
      </c>
      <c r="M12" s="11" t="s">
        <v>1627</v>
      </c>
      <c r="N12" s="24" t="n">
        <v>45881</v>
      </c>
      <c r="O12" s="25" t="n">
        <f aca="false">INT((N12-D12)/365.25)</f>
        <v>21</v>
      </c>
      <c r="P12" s="12" t="s">
        <v>22</v>
      </c>
    </row>
    <row r="13" customFormat="false" ht="15" hidden="false" customHeight="false" outlineLevel="0" collapsed="false">
      <c r="A13" s="51" t="n">
        <v>9</v>
      </c>
      <c r="B13" s="10" t="n">
        <v>874371</v>
      </c>
      <c r="C13" s="10" t="s">
        <v>1646</v>
      </c>
      <c r="D13" s="60" t="n">
        <v>37694</v>
      </c>
      <c r="E13" s="10" t="s">
        <v>1538</v>
      </c>
      <c r="F13" s="61" t="s">
        <v>160</v>
      </c>
      <c r="G13" s="10" t="s">
        <v>1647</v>
      </c>
      <c r="H13" s="10" t="s">
        <v>1648</v>
      </c>
      <c r="I13" s="10" t="n">
        <v>1514069</v>
      </c>
      <c r="J13" s="10" t="n">
        <v>2457</v>
      </c>
      <c r="K13" s="10" t="s">
        <v>22</v>
      </c>
      <c r="L13" s="10" t="n">
        <v>82996113452</v>
      </c>
      <c r="M13" s="11" t="s">
        <v>1627</v>
      </c>
      <c r="N13" s="24" t="n">
        <v>45881</v>
      </c>
      <c r="O13" s="25" t="n">
        <f aca="false">INT((N13-D13)/365.25)</f>
        <v>22</v>
      </c>
      <c r="P13" s="12" t="s">
        <v>22</v>
      </c>
    </row>
    <row r="14" customFormat="false" ht="15" hidden="false" customHeight="false" outlineLevel="0" collapsed="false">
      <c r="A14" s="51" t="n">
        <v>10</v>
      </c>
      <c r="B14" s="10" t="n">
        <v>851572</v>
      </c>
      <c r="C14" s="10" t="s">
        <v>1649</v>
      </c>
      <c r="D14" s="60" t="n">
        <v>29176</v>
      </c>
      <c r="E14" s="10" t="s">
        <v>1538</v>
      </c>
      <c r="F14" s="61" t="s">
        <v>160</v>
      </c>
      <c r="G14" s="10" t="s">
        <v>1650</v>
      </c>
      <c r="H14" s="10" t="s">
        <v>1651</v>
      </c>
      <c r="I14" s="10" t="n">
        <v>73391</v>
      </c>
      <c r="J14" s="10" t="n">
        <v>19</v>
      </c>
      <c r="K14" s="10" t="s">
        <v>22</v>
      </c>
      <c r="L14" s="10" t="n">
        <v>82999963094</v>
      </c>
      <c r="M14" s="11" t="s">
        <v>1627</v>
      </c>
      <c r="N14" s="24" t="n">
        <v>45881</v>
      </c>
      <c r="O14" s="25" t="n">
        <f aca="false">INT((N14-D14)/365.25)</f>
        <v>45</v>
      </c>
      <c r="P14" s="12" t="s">
        <v>22</v>
      </c>
    </row>
    <row r="15" customFormat="false" ht="15" hidden="false" customHeight="false" outlineLevel="0" collapsed="false">
      <c r="A15" s="51" t="n">
        <v>11</v>
      </c>
      <c r="B15" s="10" t="n">
        <v>874004</v>
      </c>
      <c r="C15" s="10" t="s">
        <v>1652</v>
      </c>
      <c r="D15" s="60" t="n">
        <v>37662</v>
      </c>
      <c r="E15" s="10" t="s">
        <v>1538</v>
      </c>
      <c r="F15" s="61" t="s">
        <v>160</v>
      </c>
      <c r="G15" s="10" t="s">
        <v>1653</v>
      </c>
      <c r="H15" s="10" t="s">
        <v>1654</v>
      </c>
      <c r="I15" s="10" t="n">
        <v>1503573</v>
      </c>
      <c r="J15" s="10" t="n">
        <v>6482</v>
      </c>
      <c r="K15" s="10" t="s">
        <v>22</v>
      </c>
      <c r="L15" s="10" t="n">
        <v>82981460638</v>
      </c>
      <c r="M15" s="11" t="s">
        <v>1627</v>
      </c>
      <c r="N15" s="24" t="n">
        <v>45881</v>
      </c>
      <c r="O15" s="25" t="n">
        <f aca="false">INT((N15-D15)/365.25)</f>
        <v>22</v>
      </c>
      <c r="P15" s="12" t="s">
        <v>22</v>
      </c>
    </row>
    <row r="16" customFormat="false" ht="15" hidden="false" customHeight="false" outlineLevel="0" collapsed="false">
      <c r="A16" s="51" t="n">
        <v>12</v>
      </c>
      <c r="B16" s="10" t="n">
        <v>851721</v>
      </c>
      <c r="C16" s="10" t="s">
        <v>1655</v>
      </c>
      <c r="D16" s="60" t="n">
        <v>29418</v>
      </c>
      <c r="E16" s="10" t="s">
        <v>1538</v>
      </c>
      <c r="F16" s="61" t="s">
        <v>160</v>
      </c>
      <c r="G16" s="10" t="s">
        <v>1656</v>
      </c>
      <c r="H16" s="10" t="s">
        <v>1657</v>
      </c>
      <c r="I16" s="10" t="n">
        <v>511971</v>
      </c>
      <c r="J16" s="10" t="n">
        <v>8426</v>
      </c>
      <c r="K16" s="10" t="s">
        <v>22</v>
      </c>
      <c r="L16" s="10" t="n">
        <v>67981266953</v>
      </c>
      <c r="M16" s="11" t="s">
        <v>1627</v>
      </c>
      <c r="N16" s="24" t="n">
        <v>45881</v>
      </c>
      <c r="O16" s="25" t="n">
        <f aca="false">INT((N16-D16)/365.25)</f>
        <v>45</v>
      </c>
      <c r="P16" s="12" t="s">
        <v>22</v>
      </c>
    </row>
    <row r="17" customFormat="false" ht="15" hidden="false" customHeight="false" outlineLevel="0" collapsed="false">
      <c r="A17" s="51" t="n">
        <v>13</v>
      </c>
      <c r="B17" s="59" t="n">
        <v>861612</v>
      </c>
      <c r="C17" s="59" t="s">
        <v>1658</v>
      </c>
      <c r="D17" s="60" t="n">
        <v>37190</v>
      </c>
      <c r="E17" s="10" t="s">
        <v>1538</v>
      </c>
      <c r="F17" s="61" t="s">
        <v>160</v>
      </c>
      <c r="G17" s="10" t="s">
        <v>1659</v>
      </c>
      <c r="H17" s="10" t="s">
        <v>1660</v>
      </c>
      <c r="I17" s="10" t="n">
        <v>4931770</v>
      </c>
      <c r="J17" s="10" t="n">
        <v>888</v>
      </c>
      <c r="K17" s="10" t="s">
        <v>22</v>
      </c>
      <c r="L17" s="10" t="n">
        <v>82981788588</v>
      </c>
      <c r="M17" s="11" t="s">
        <v>1627</v>
      </c>
      <c r="N17" s="24" t="n">
        <v>45881</v>
      </c>
      <c r="O17" s="25" t="n">
        <f aca="false">INT((N17-D17)/365.25)</f>
        <v>23</v>
      </c>
      <c r="P17" s="12" t="s">
        <v>22</v>
      </c>
    </row>
    <row r="18" customFormat="false" ht="15" hidden="false" customHeight="false" outlineLevel="0" collapsed="false">
      <c r="A18" s="51" t="n">
        <v>14</v>
      </c>
      <c r="B18" s="10" t="n">
        <v>874389</v>
      </c>
      <c r="C18" s="10" t="s">
        <v>1661</v>
      </c>
      <c r="D18" s="60" t="n">
        <v>28234</v>
      </c>
      <c r="E18" s="10" t="s">
        <v>1538</v>
      </c>
      <c r="F18" s="61" t="s">
        <v>160</v>
      </c>
      <c r="G18" s="10" t="s">
        <v>1662</v>
      </c>
      <c r="H18" s="10" t="s">
        <v>1663</v>
      </c>
      <c r="I18" s="10" t="n">
        <v>614070</v>
      </c>
      <c r="J18" s="10" t="n">
        <v>2445</v>
      </c>
      <c r="K18" s="10" t="s">
        <v>22</v>
      </c>
      <c r="L18" s="10" t="n">
        <v>79991748367</v>
      </c>
      <c r="M18" s="11" t="s">
        <v>1627</v>
      </c>
      <c r="N18" s="24" t="n">
        <v>45881</v>
      </c>
      <c r="O18" s="25" t="n">
        <f aca="false">INT((N18-D18)/365.25)</f>
        <v>48</v>
      </c>
      <c r="P18" s="12" t="s">
        <v>22</v>
      </c>
    </row>
    <row r="19" customFormat="false" ht="15" hidden="false" customHeight="false" outlineLevel="0" collapsed="false">
      <c r="A19" s="51" t="n">
        <v>15</v>
      </c>
      <c r="B19" s="10" t="n">
        <v>861684</v>
      </c>
      <c r="C19" s="10" t="s">
        <v>1664</v>
      </c>
      <c r="D19" s="60" t="n">
        <v>26085</v>
      </c>
      <c r="E19" s="10" t="s">
        <v>1538</v>
      </c>
      <c r="F19" s="61" t="s">
        <v>160</v>
      </c>
      <c r="G19" s="10" t="s">
        <v>1665</v>
      </c>
      <c r="H19" s="10" t="n">
        <v>1669417</v>
      </c>
      <c r="I19" s="10" t="n">
        <v>6439069</v>
      </c>
      <c r="J19" s="10" t="n">
        <v>30</v>
      </c>
      <c r="K19" s="10" t="s">
        <v>22</v>
      </c>
      <c r="L19" s="10" t="n">
        <v>82996114227</v>
      </c>
      <c r="M19" s="11" t="s">
        <v>1627</v>
      </c>
      <c r="N19" s="24" t="n">
        <v>45881</v>
      </c>
      <c r="O19" s="25" t="n">
        <f aca="false">INT((N19-D19)/365.25)</f>
        <v>54</v>
      </c>
      <c r="P19" s="12" t="s">
        <v>22</v>
      </c>
    </row>
    <row r="20" customFormat="false" ht="15" hidden="false" customHeight="false" outlineLevel="0" collapsed="false">
      <c r="A20" s="51" t="n">
        <v>16</v>
      </c>
      <c r="B20" s="10" t="n">
        <v>861689</v>
      </c>
      <c r="C20" s="10" t="s">
        <v>1666</v>
      </c>
      <c r="D20" s="60" t="n">
        <v>37206</v>
      </c>
      <c r="E20" s="10" t="s">
        <v>1586</v>
      </c>
      <c r="F20" s="61" t="s">
        <v>160</v>
      </c>
      <c r="G20" s="10" t="s">
        <v>1667</v>
      </c>
      <c r="H20" s="10" t="s">
        <v>1668</v>
      </c>
      <c r="I20" s="10" t="n">
        <v>1442812</v>
      </c>
      <c r="J20" s="10" t="n">
        <v>8428</v>
      </c>
      <c r="K20" s="10" t="s">
        <v>22</v>
      </c>
      <c r="L20" s="10" t="n">
        <v>82982051510</v>
      </c>
      <c r="M20" s="11" t="s">
        <v>1627</v>
      </c>
      <c r="N20" s="24" t="n">
        <v>45881</v>
      </c>
      <c r="O20" s="25" t="n">
        <f aca="false">INT((N20-D20)/365.25)</f>
        <v>23</v>
      </c>
      <c r="P20" s="12" t="s">
        <v>22</v>
      </c>
    </row>
    <row r="21" customFormat="false" ht="15" hidden="false" customHeight="false" outlineLevel="0" collapsed="false">
      <c r="A21" s="51" t="n">
        <v>17</v>
      </c>
      <c r="B21" s="10" t="n">
        <v>874476</v>
      </c>
      <c r="C21" s="10" t="s">
        <v>1669</v>
      </c>
      <c r="D21" s="60" t="n">
        <v>32272</v>
      </c>
      <c r="E21" s="10" t="s">
        <v>1586</v>
      </c>
      <c r="F21" s="61" t="s">
        <v>160</v>
      </c>
      <c r="G21" s="10" t="s">
        <v>1670</v>
      </c>
      <c r="H21" s="10" t="s">
        <v>1671</v>
      </c>
      <c r="I21" s="10" t="n">
        <v>832143</v>
      </c>
      <c r="J21" s="10" t="n">
        <v>9445</v>
      </c>
      <c r="K21" s="10" t="s">
        <v>22</v>
      </c>
      <c r="L21" s="10" t="n">
        <v>82996568214</v>
      </c>
      <c r="M21" s="11" t="s">
        <v>1627</v>
      </c>
      <c r="N21" s="24" t="n">
        <v>45881</v>
      </c>
      <c r="O21" s="25" t="n">
        <f aca="false">INT((N21-D21)/365.25)</f>
        <v>37</v>
      </c>
      <c r="P21" s="12" t="s">
        <v>22</v>
      </c>
    </row>
    <row r="22" customFormat="false" ht="15" hidden="false" customHeight="false" outlineLevel="0" collapsed="false">
      <c r="A22" s="51" t="n">
        <v>18</v>
      </c>
      <c r="B22" s="10" t="n">
        <v>874396</v>
      </c>
      <c r="C22" s="10" t="s">
        <v>1672</v>
      </c>
      <c r="D22" s="60" t="n">
        <v>27289</v>
      </c>
      <c r="E22" s="10" t="s">
        <v>1538</v>
      </c>
      <c r="F22" s="61" t="s">
        <v>160</v>
      </c>
      <c r="G22" s="10" t="s">
        <v>1673</v>
      </c>
      <c r="H22" s="10" t="n">
        <v>2008016862</v>
      </c>
      <c r="I22" s="10" t="n">
        <v>9582519</v>
      </c>
      <c r="J22" s="10" t="n">
        <v>3472</v>
      </c>
      <c r="K22" s="10" t="s">
        <v>22</v>
      </c>
      <c r="L22" s="10" t="n">
        <v>27995209984</v>
      </c>
      <c r="M22" s="11" t="s">
        <v>1627</v>
      </c>
      <c r="N22" s="24" t="n">
        <v>45881</v>
      </c>
      <c r="O22" s="25" t="n">
        <f aca="false">INT((N22-D22)/365.25)</f>
        <v>50</v>
      </c>
      <c r="P22" s="12" t="s">
        <v>22</v>
      </c>
    </row>
    <row r="23" customFormat="false" ht="15" hidden="false" customHeight="false" outlineLevel="0" collapsed="false">
      <c r="A23" s="51" t="n">
        <v>19</v>
      </c>
      <c r="B23" s="10" t="n">
        <v>851743</v>
      </c>
      <c r="C23" s="10" t="s">
        <v>1674</v>
      </c>
      <c r="D23" s="60" t="n">
        <v>35212</v>
      </c>
      <c r="E23" s="10" t="s">
        <v>1538</v>
      </c>
      <c r="F23" s="61" t="s">
        <v>160</v>
      </c>
      <c r="G23" s="10" t="s">
        <v>1675</v>
      </c>
      <c r="H23" s="10" t="s">
        <v>1676</v>
      </c>
      <c r="I23" s="10" t="n">
        <v>1158557</v>
      </c>
      <c r="J23" s="10" t="n">
        <v>435</v>
      </c>
      <c r="K23" s="10" t="s">
        <v>22</v>
      </c>
      <c r="L23" s="10" t="n">
        <v>82981250445</v>
      </c>
      <c r="M23" s="11" t="s">
        <v>1627</v>
      </c>
      <c r="N23" s="24" t="n">
        <v>45881</v>
      </c>
      <c r="O23" s="25" t="n">
        <f aca="false">INT((N23-D23)/365.25)</f>
        <v>29</v>
      </c>
      <c r="P23" s="12" t="s">
        <v>22</v>
      </c>
    </row>
    <row r="24" customFormat="false" ht="15" hidden="false" customHeight="false" outlineLevel="0" collapsed="false">
      <c r="A24" s="51" t="n">
        <v>20</v>
      </c>
      <c r="B24" s="10" t="n">
        <v>874469</v>
      </c>
      <c r="C24" s="10" t="s">
        <v>1677</v>
      </c>
      <c r="D24" s="60" t="n">
        <v>36571</v>
      </c>
      <c r="E24" s="10" t="s">
        <v>1586</v>
      </c>
      <c r="F24" s="61" t="s">
        <v>160</v>
      </c>
      <c r="G24" s="10" t="s">
        <v>1678</v>
      </c>
      <c r="H24" s="10" t="n">
        <v>4055870</v>
      </c>
      <c r="I24" s="10" t="n">
        <v>5661201</v>
      </c>
      <c r="J24" s="10" t="n">
        <v>50</v>
      </c>
      <c r="K24" s="10" t="s">
        <v>22</v>
      </c>
      <c r="L24" s="10" t="n">
        <v>66992037714</v>
      </c>
      <c r="M24" s="11" t="s">
        <v>1627</v>
      </c>
      <c r="N24" s="24" t="n">
        <v>45881</v>
      </c>
      <c r="O24" s="25" t="n">
        <f aca="false">INT((N24-D24)/365.25)</f>
        <v>25</v>
      </c>
      <c r="P24" s="12" t="s">
        <v>22</v>
      </c>
    </row>
    <row r="25" customFormat="false" ht="15" hidden="false" customHeight="false" outlineLevel="0" collapsed="false">
      <c r="A25" s="51" t="n">
        <v>21</v>
      </c>
      <c r="B25" s="10" t="n">
        <v>851596</v>
      </c>
      <c r="C25" s="10" t="s">
        <v>1679</v>
      </c>
      <c r="D25" s="60" t="n">
        <v>30722</v>
      </c>
      <c r="E25" s="10" t="s">
        <v>1586</v>
      </c>
      <c r="F25" s="61" t="s">
        <v>160</v>
      </c>
      <c r="G25" s="10" t="s">
        <v>1680</v>
      </c>
      <c r="H25" s="10" t="n">
        <v>6711090</v>
      </c>
      <c r="I25" s="10" t="n">
        <v>673396</v>
      </c>
      <c r="J25" s="10" t="n">
        <v>6492</v>
      </c>
      <c r="K25" s="10" t="s">
        <v>22</v>
      </c>
      <c r="L25" s="10" t="n">
        <v>75999147621</v>
      </c>
      <c r="M25" s="11" t="s">
        <v>1627</v>
      </c>
      <c r="N25" s="24" t="n">
        <v>45881</v>
      </c>
      <c r="O25" s="25" t="n">
        <f aca="false">INT((N25-D25)/365.25)</f>
        <v>41</v>
      </c>
      <c r="P25" s="12" t="s">
        <v>22</v>
      </c>
    </row>
    <row r="26" customFormat="false" ht="15" hidden="false" customHeight="false" outlineLevel="0" collapsed="false">
      <c r="A26" s="51" t="n">
        <v>22</v>
      </c>
      <c r="B26" s="10" t="n">
        <v>874739</v>
      </c>
      <c r="C26" s="10" t="s">
        <v>1681</v>
      </c>
      <c r="D26" s="60" t="n">
        <v>36774</v>
      </c>
      <c r="E26" s="10" t="s">
        <v>1586</v>
      </c>
      <c r="F26" s="61" t="s">
        <v>160</v>
      </c>
      <c r="G26" s="10" t="s">
        <v>1682</v>
      </c>
      <c r="H26" s="10" t="s">
        <v>1683</v>
      </c>
      <c r="I26" s="10" t="n">
        <v>1515605</v>
      </c>
      <c r="J26" s="10" t="n">
        <v>9490</v>
      </c>
      <c r="K26" s="10" t="s">
        <v>22</v>
      </c>
      <c r="L26" s="10" t="n">
        <v>32999198103</v>
      </c>
      <c r="M26" s="11" t="s">
        <v>1627</v>
      </c>
      <c r="N26" s="24" t="n">
        <v>45881</v>
      </c>
      <c r="O26" s="25" t="n">
        <f aca="false">INT((N26-D26)/365.25)</f>
        <v>24</v>
      </c>
      <c r="P26" s="12" t="s">
        <v>22</v>
      </c>
    </row>
    <row r="27" customFormat="false" ht="15" hidden="false" customHeight="false" outlineLevel="0" collapsed="false">
      <c r="A27" s="51" t="n">
        <v>23</v>
      </c>
      <c r="B27" s="10" t="n">
        <v>874351</v>
      </c>
      <c r="C27" s="10" t="s">
        <v>1684</v>
      </c>
      <c r="D27" s="60" t="n">
        <v>38324</v>
      </c>
      <c r="E27" s="10" t="s">
        <v>1586</v>
      </c>
      <c r="F27" s="10" t="s">
        <v>160</v>
      </c>
      <c r="G27" s="10" t="s">
        <v>1685</v>
      </c>
      <c r="H27" s="10" t="s">
        <v>1686</v>
      </c>
      <c r="I27" s="10" t="n">
        <v>976394</v>
      </c>
      <c r="J27" s="10" t="n">
        <v>7405</v>
      </c>
      <c r="K27" s="10" t="s">
        <v>22</v>
      </c>
      <c r="L27" s="10" t="n">
        <v>82981424905</v>
      </c>
      <c r="M27" s="11" t="s">
        <v>1627</v>
      </c>
      <c r="N27" s="24" t="n">
        <v>45881</v>
      </c>
      <c r="O27" s="25" t="n">
        <f aca="false">INT((N27-D27)/365.25)</f>
        <v>20</v>
      </c>
      <c r="P27" s="12" t="s">
        <v>22</v>
      </c>
    </row>
    <row r="28" customFormat="false" ht="15" hidden="false" customHeight="false" outlineLevel="0" collapsed="false">
      <c r="A28" s="51" t="n">
        <v>24</v>
      </c>
      <c r="B28" s="10" t="n">
        <v>874477</v>
      </c>
      <c r="C28" s="10" t="s">
        <v>1687</v>
      </c>
      <c r="D28" s="60" t="n">
        <v>37470</v>
      </c>
      <c r="E28" s="10" t="s">
        <v>1538</v>
      </c>
      <c r="F28" s="61" t="s">
        <v>160</v>
      </c>
      <c r="G28" s="10" t="s">
        <v>1688</v>
      </c>
      <c r="H28" s="10" t="s">
        <v>1689</v>
      </c>
      <c r="I28" s="10" t="n">
        <v>1287656</v>
      </c>
      <c r="J28" s="10" t="n">
        <v>5447</v>
      </c>
      <c r="K28" s="10" t="s">
        <v>22</v>
      </c>
      <c r="L28" s="10" t="n">
        <v>82988970149</v>
      </c>
      <c r="M28" s="11" t="s">
        <v>1627</v>
      </c>
      <c r="N28" s="24" t="n">
        <v>45881</v>
      </c>
      <c r="O28" s="25" t="n">
        <f aca="false">INT((N28-D28)/365.25)</f>
        <v>23</v>
      </c>
      <c r="P28" s="12" t="s">
        <v>22</v>
      </c>
    </row>
    <row r="29" customFormat="false" ht="15" hidden="false" customHeight="false" outlineLevel="0" collapsed="false">
      <c r="A29" s="51" t="n">
        <v>25</v>
      </c>
      <c r="B29" s="10" t="n">
        <v>851603</v>
      </c>
      <c r="C29" s="10" t="s">
        <v>1690</v>
      </c>
      <c r="D29" s="60" t="n">
        <v>27889</v>
      </c>
      <c r="E29" s="10" t="s">
        <v>1586</v>
      </c>
      <c r="F29" s="61" t="s">
        <v>160</v>
      </c>
      <c r="G29" s="10" t="s">
        <v>1691</v>
      </c>
      <c r="H29" s="10" t="s">
        <v>1692</v>
      </c>
      <c r="I29" s="10" t="n">
        <v>9641114</v>
      </c>
      <c r="J29" s="10" t="n">
        <v>30</v>
      </c>
      <c r="K29" s="10" t="s">
        <v>22</v>
      </c>
      <c r="L29" s="10" t="n">
        <v>82996861950</v>
      </c>
      <c r="M29" s="11" t="s">
        <v>1627</v>
      </c>
      <c r="N29" s="24" t="n">
        <v>45881</v>
      </c>
      <c r="O29" s="25" t="n">
        <f aca="false">INT((N29-D29)/365.25)</f>
        <v>49</v>
      </c>
      <c r="P29" s="12" t="s">
        <v>22</v>
      </c>
    </row>
    <row r="30" customFormat="false" ht="15" hidden="false" customHeight="false" outlineLevel="0" collapsed="false">
      <c r="A30" s="51" t="n">
        <v>26</v>
      </c>
      <c r="B30" s="10" t="n">
        <v>874471</v>
      </c>
      <c r="C30" s="10" t="s">
        <v>1693</v>
      </c>
      <c r="D30" s="60" t="n">
        <v>38025</v>
      </c>
      <c r="E30" s="10" t="s">
        <v>1586</v>
      </c>
      <c r="F30" s="61" t="s">
        <v>160</v>
      </c>
      <c r="G30" s="10" t="s">
        <v>1694</v>
      </c>
      <c r="H30" s="10" t="s">
        <v>1695</v>
      </c>
      <c r="I30" s="10" t="n">
        <v>1070194</v>
      </c>
      <c r="J30" s="10" t="n">
        <v>2479</v>
      </c>
      <c r="K30" s="10" t="s">
        <v>22</v>
      </c>
      <c r="L30" s="10" t="n">
        <v>82987276647</v>
      </c>
      <c r="M30" s="11" t="s">
        <v>1627</v>
      </c>
      <c r="N30" s="24" t="n">
        <v>45881</v>
      </c>
      <c r="O30" s="25" t="n">
        <f aca="false">INT((N30-D30)/365.25)</f>
        <v>21</v>
      </c>
      <c r="P30" s="12" t="s">
        <v>22</v>
      </c>
    </row>
    <row r="31" customFormat="false" ht="15" hidden="false" customHeight="false" outlineLevel="0" collapsed="false">
      <c r="A31" s="51" t="n">
        <v>27</v>
      </c>
      <c r="B31" s="10" t="n">
        <v>874697</v>
      </c>
      <c r="C31" s="10" t="s">
        <v>1696</v>
      </c>
      <c r="D31" s="60" t="n">
        <v>38903</v>
      </c>
      <c r="E31" s="10" t="s">
        <v>1538</v>
      </c>
      <c r="F31" s="61" t="s">
        <v>160</v>
      </c>
      <c r="G31" s="10" t="s">
        <v>1697</v>
      </c>
      <c r="H31" s="10" t="s">
        <v>1698</v>
      </c>
      <c r="I31" s="10" t="n">
        <v>1247693</v>
      </c>
      <c r="J31" s="10" t="n">
        <v>7401</v>
      </c>
      <c r="K31" s="10" t="s">
        <v>22</v>
      </c>
      <c r="L31" s="10" t="n">
        <v>82996744982</v>
      </c>
      <c r="M31" s="11" t="s">
        <v>1627</v>
      </c>
      <c r="N31" s="24" t="n">
        <v>45881</v>
      </c>
      <c r="O31" s="25" t="n">
        <f aca="false">INT((N31-D31)/365.25)</f>
        <v>19</v>
      </c>
      <c r="P31" s="12" t="s">
        <v>22</v>
      </c>
    </row>
    <row r="32" customFormat="false" ht="15" hidden="false" customHeight="false" outlineLevel="0" collapsed="false">
      <c r="A32" s="51" t="n">
        <v>28</v>
      </c>
      <c r="B32" s="52" t="n">
        <v>851622</v>
      </c>
      <c r="C32" s="52" t="s">
        <v>1699</v>
      </c>
      <c r="D32" s="60" t="n">
        <v>29192</v>
      </c>
      <c r="E32" s="10" t="s">
        <v>1586</v>
      </c>
      <c r="F32" s="61" t="s">
        <v>160</v>
      </c>
      <c r="G32" s="10" t="s">
        <v>1700</v>
      </c>
      <c r="H32" s="10" t="n">
        <v>37089889</v>
      </c>
      <c r="I32" s="10" t="n">
        <v>485042</v>
      </c>
      <c r="J32" s="10" t="n">
        <v>2403</v>
      </c>
      <c r="K32" s="10" t="s">
        <v>22</v>
      </c>
      <c r="L32" s="10" t="n">
        <v>38998446182</v>
      </c>
      <c r="M32" s="11" t="s">
        <v>1627</v>
      </c>
      <c r="N32" s="24" t="n">
        <v>45881</v>
      </c>
      <c r="O32" s="25" t="n">
        <f aca="false">INT((N32-D32)/365.25)</f>
        <v>45</v>
      </c>
      <c r="P32" s="12" t="s">
        <v>22</v>
      </c>
    </row>
    <row r="33" customFormat="false" ht="15" hidden="false" customHeight="false" outlineLevel="0" collapsed="false">
      <c r="A33" s="51" t="n">
        <v>29</v>
      </c>
      <c r="B33" s="10" t="n">
        <v>874374</v>
      </c>
      <c r="C33" s="10" t="s">
        <v>1701</v>
      </c>
      <c r="D33" s="60" t="n">
        <v>32898</v>
      </c>
      <c r="E33" s="10" t="s">
        <v>1586</v>
      </c>
      <c r="F33" s="61" t="s">
        <v>160</v>
      </c>
      <c r="G33" s="10" t="s">
        <v>1702</v>
      </c>
      <c r="H33" s="10" t="s">
        <v>992</v>
      </c>
      <c r="I33" s="10" t="n">
        <v>1080142</v>
      </c>
      <c r="J33" s="10" t="n">
        <v>4445</v>
      </c>
      <c r="K33" s="10" t="s">
        <v>22</v>
      </c>
      <c r="L33" s="10" t="n">
        <v>61986590690</v>
      </c>
      <c r="M33" s="11" t="s">
        <v>1627</v>
      </c>
      <c r="N33" s="24" t="n">
        <v>45881</v>
      </c>
      <c r="O33" s="25" t="n">
        <f aca="false">INT((N33-D33)/365.25)</f>
        <v>35</v>
      </c>
      <c r="P33" s="12" t="s">
        <v>22</v>
      </c>
    </row>
    <row r="34" customFormat="false" ht="15" hidden="false" customHeight="false" outlineLevel="0" collapsed="false">
      <c r="A34" s="51" t="n">
        <v>30</v>
      </c>
      <c r="B34" s="10" t="n">
        <v>874405</v>
      </c>
      <c r="C34" s="10" t="s">
        <v>1703</v>
      </c>
      <c r="D34" s="60" t="n">
        <v>28357</v>
      </c>
      <c r="E34" s="10" t="s">
        <v>1586</v>
      </c>
      <c r="F34" s="61" t="s">
        <v>160</v>
      </c>
      <c r="G34" s="10" t="s">
        <v>1704</v>
      </c>
      <c r="H34" s="10" t="n">
        <v>20103230</v>
      </c>
      <c r="I34" s="10" t="n">
        <v>572039</v>
      </c>
      <c r="J34" s="10" t="n">
        <v>6462</v>
      </c>
      <c r="K34" s="10" t="s">
        <v>22</v>
      </c>
      <c r="L34" s="10" t="n">
        <v>34998710833</v>
      </c>
      <c r="M34" s="11" t="s">
        <v>1627</v>
      </c>
      <c r="N34" s="24" t="n">
        <v>45881</v>
      </c>
      <c r="O34" s="25" t="n">
        <f aca="false">INT((N34-D34)/365.25)</f>
        <v>47</v>
      </c>
      <c r="P34" s="12" t="s">
        <v>22</v>
      </c>
    </row>
    <row r="35" customFormat="false" ht="15" hidden="false" customHeight="false" outlineLevel="0" collapsed="false">
      <c r="A35" s="51" t="n">
        <v>31</v>
      </c>
      <c r="B35" s="10" t="n">
        <v>874470</v>
      </c>
      <c r="C35" s="10" t="s">
        <v>1705</v>
      </c>
      <c r="D35" s="60" t="n">
        <v>34237</v>
      </c>
      <c r="E35" s="10" t="s">
        <v>1586</v>
      </c>
      <c r="F35" s="61" t="s">
        <v>160</v>
      </c>
      <c r="G35" s="10" t="s">
        <v>1706</v>
      </c>
      <c r="H35" s="10" t="s">
        <v>1707</v>
      </c>
      <c r="I35" s="10" t="n">
        <v>1130422</v>
      </c>
      <c r="J35" s="10" t="n">
        <v>5429</v>
      </c>
      <c r="K35" s="10" t="s">
        <v>22</v>
      </c>
      <c r="L35" s="10" t="n">
        <v>27995127223</v>
      </c>
      <c r="M35" s="11" t="s">
        <v>1627</v>
      </c>
      <c r="N35" s="24" t="n">
        <v>45881</v>
      </c>
      <c r="O35" s="25" t="n">
        <f aca="false">INT((N35-D35)/365.25)</f>
        <v>31</v>
      </c>
      <c r="P35" s="12" t="s">
        <v>22</v>
      </c>
    </row>
    <row r="36" customFormat="false" ht="15" hidden="false" customHeight="false" outlineLevel="0" collapsed="false">
      <c r="A36" s="51" t="n">
        <v>32</v>
      </c>
      <c r="B36" s="10" t="n">
        <v>851492</v>
      </c>
      <c r="C36" s="10" t="s">
        <v>1708</v>
      </c>
      <c r="D36" s="60" t="n">
        <v>31506</v>
      </c>
      <c r="E36" s="10" t="s">
        <v>1586</v>
      </c>
      <c r="F36" s="61" t="s">
        <v>160</v>
      </c>
      <c r="G36" s="10" t="s">
        <v>1709</v>
      </c>
      <c r="H36" s="10" t="s">
        <v>1710</v>
      </c>
      <c r="I36" s="10" t="n">
        <v>87724</v>
      </c>
      <c r="J36" s="10" t="n">
        <v>23</v>
      </c>
      <c r="K36" s="10" t="s">
        <v>22</v>
      </c>
      <c r="L36" s="10" t="n">
        <v>82996231061</v>
      </c>
      <c r="M36" s="11" t="s">
        <v>1627</v>
      </c>
      <c r="N36" s="24" t="n">
        <v>45881</v>
      </c>
      <c r="O36" s="25" t="n">
        <f aca="false">INT((N36-D36)/365.25)</f>
        <v>39</v>
      </c>
      <c r="P36" s="12" t="s">
        <v>22</v>
      </c>
    </row>
    <row r="37" customFormat="false" ht="15" hidden="false" customHeight="false" outlineLevel="0" collapsed="false">
      <c r="A37" s="51" t="n">
        <v>33</v>
      </c>
      <c r="B37" s="10" t="n">
        <v>863229</v>
      </c>
      <c r="C37" s="10" t="s">
        <v>1711</v>
      </c>
      <c r="D37" s="60" t="n">
        <v>31948</v>
      </c>
      <c r="E37" s="10" t="s">
        <v>1586</v>
      </c>
      <c r="F37" s="61" t="s">
        <v>160</v>
      </c>
      <c r="G37" s="10" t="s">
        <v>1712</v>
      </c>
      <c r="H37" s="10" t="s">
        <v>1713</v>
      </c>
      <c r="I37" s="10" t="n">
        <v>751845</v>
      </c>
      <c r="J37" s="10" t="n">
        <v>4424</v>
      </c>
      <c r="K37" s="10" t="s">
        <v>22</v>
      </c>
      <c r="L37" s="10" t="n">
        <v>82996548912</v>
      </c>
      <c r="M37" s="11" t="s">
        <v>1627</v>
      </c>
      <c r="N37" s="24" t="n">
        <v>45881</v>
      </c>
      <c r="O37" s="25" t="n">
        <f aca="false">INT((N37-D37)/365.25)</f>
        <v>38</v>
      </c>
      <c r="P37" s="12" t="s">
        <v>22</v>
      </c>
    </row>
    <row r="38" customFormat="false" ht="15" hidden="false" customHeight="false" outlineLevel="0" collapsed="false">
      <c r="A38" s="51" t="n">
        <v>34</v>
      </c>
      <c r="B38" s="10" t="n">
        <v>851774</v>
      </c>
      <c r="C38" s="10" t="s">
        <v>1714</v>
      </c>
      <c r="D38" s="60" t="n">
        <v>36803</v>
      </c>
      <c r="E38" s="10" t="s">
        <v>1586</v>
      </c>
      <c r="F38" s="61" t="s">
        <v>160</v>
      </c>
      <c r="G38" s="10" t="s">
        <v>1715</v>
      </c>
      <c r="H38" s="10" t="n">
        <v>4516393</v>
      </c>
      <c r="I38" s="10" t="n">
        <v>7211515</v>
      </c>
      <c r="J38" s="10" t="n">
        <v>4495</v>
      </c>
      <c r="K38" s="10" t="s">
        <v>22</v>
      </c>
      <c r="L38" s="10" t="n">
        <v>82999447084</v>
      </c>
      <c r="M38" s="11" t="s">
        <v>1627</v>
      </c>
      <c r="N38" s="24" t="n">
        <v>45881</v>
      </c>
      <c r="O38" s="25" t="n">
        <f aca="false">INT((N38-D38)/365.25)</f>
        <v>24</v>
      </c>
      <c r="P38" s="12" t="s">
        <v>22</v>
      </c>
    </row>
    <row r="39" customFormat="false" ht="15" hidden="false" customHeight="false" outlineLevel="0" collapsed="false">
      <c r="A39" s="51" t="n">
        <v>35</v>
      </c>
      <c r="B39" s="10" t="n">
        <v>851501</v>
      </c>
      <c r="C39" s="10" t="s">
        <v>1716</v>
      </c>
      <c r="D39" s="60" t="n">
        <v>31930</v>
      </c>
      <c r="E39" s="10" t="s">
        <v>1586</v>
      </c>
      <c r="F39" s="61" t="s">
        <v>160</v>
      </c>
      <c r="G39" s="10" t="s">
        <v>1717</v>
      </c>
      <c r="H39" s="10" t="s">
        <v>1718</v>
      </c>
      <c r="I39" s="10" t="n">
        <v>87908</v>
      </c>
      <c r="J39" s="10" t="n">
        <v>23</v>
      </c>
      <c r="K39" s="10" t="s">
        <v>22</v>
      </c>
      <c r="L39" s="10" t="n">
        <v>61996388215</v>
      </c>
      <c r="M39" s="11" t="s">
        <v>1627</v>
      </c>
      <c r="N39" s="24" t="n">
        <v>45881</v>
      </c>
      <c r="O39" s="25" t="n">
        <f aca="false">INT((N39-D39)/365.25)</f>
        <v>38</v>
      </c>
      <c r="P39" s="12" t="s">
        <v>22</v>
      </c>
    </row>
    <row r="40" customFormat="false" ht="15" hidden="false" customHeight="false" outlineLevel="0" collapsed="false">
      <c r="A40" s="51" t="n">
        <v>36</v>
      </c>
      <c r="B40" s="10" t="n">
        <v>874403</v>
      </c>
      <c r="C40" s="10" t="s">
        <v>1719</v>
      </c>
      <c r="D40" s="60" t="n">
        <v>32947</v>
      </c>
      <c r="E40" s="10" t="s">
        <v>1538</v>
      </c>
      <c r="F40" s="61" t="s">
        <v>160</v>
      </c>
      <c r="G40" s="10" t="s">
        <v>1720</v>
      </c>
      <c r="H40" s="10" t="s">
        <v>1721</v>
      </c>
      <c r="I40" s="10" t="n">
        <v>4034143</v>
      </c>
      <c r="J40" s="10" t="n">
        <v>3802</v>
      </c>
      <c r="K40" s="10" t="s">
        <v>22</v>
      </c>
      <c r="L40" s="10" t="n">
        <v>13997580561</v>
      </c>
      <c r="M40" s="11" t="s">
        <v>1627</v>
      </c>
      <c r="N40" s="24" t="n">
        <v>45881</v>
      </c>
      <c r="O40" s="25" t="n">
        <f aca="false">INT((N40-D40)/365.25)</f>
        <v>35</v>
      </c>
      <c r="P40" s="12" t="s">
        <v>22</v>
      </c>
    </row>
    <row r="41" customFormat="false" ht="15" hidden="false" customHeight="false" outlineLevel="0" collapsed="false">
      <c r="A41" s="51" t="n">
        <v>37</v>
      </c>
      <c r="B41" s="10" t="n">
        <v>874558</v>
      </c>
      <c r="C41" s="10" t="s">
        <v>1722</v>
      </c>
      <c r="D41" s="60" t="n">
        <v>36672</v>
      </c>
      <c r="E41" s="10" t="s">
        <v>1538</v>
      </c>
      <c r="F41" s="61" t="s">
        <v>160</v>
      </c>
      <c r="G41" s="10" t="s">
        <v>1723</v>
      </c>
      <c r="H41" s="10" t="s">
        <v>1724</v>
      </c>
      <c r="I41" s="10" t="n">
        <v>1290044</v>
      </c>
      <c r="J41" s="10" t="n">
        <v>408</v>
      </c>
      <c r="K41" s="10" t="s">
        <v>22</v>
      </c>
      <c r="L41" s="10" t="n">
        <v>82987802940</v>
      </c>
      <c r="M41" s="11" t="s">
        <v>1627</v>
      </c>
      <c r="N41" s="24" t="n">
        <v>45881</v>
      </c>
      <c r="O41" s="25" t="n">
        <f aca="false">INT((N41-D41)/365.25)</f>
        <v>25</v>
      </c>
      <c r="P41" s="12" t="s">
        <v>22</v>
      </c>
    </row>
    <row r="42" customFormat="false" ht="15" hidden="false" customHeight="false" outlineLevel="0" collapsed="false">
      <c r="A42" s="51" t="n">
        <v>38</v>
      </c>
      <c r="B42" s="10" t="n">
        <v>874691</v>
      </c>
      <c r="C42" s="10" t="s">
        <v>1725</v>
      </c>
      <c r="D42" s="60" t="n">
        <v>38737</v>
      </c>
      <c r="E42" s="10" t="s">
        <v>1586</v>
      </c>
      <c r="F42" s="61" t="s">
        <v>160</v>
      </c>
      <c r="G42" s="10" t="s">
        <v>1726</v>
      </c>
      <c r="H42" s="10" t="s">
        <v>1727</v>
      </c>
      <c r="I42" s="10" t="n">
        <v>1528437</v>
      </c>
      <c r="J42" s="10" t="n">
        <v>4460</v>
      </c>
      <c r="K42" s="10" t="s">
        <v>22</v>
      </c>
      <c r="L42" s="10" t="n">
        <v>17996030627</v>
      </c>
      <c r="M42" s="11" t="s">
        <v>1627</v>
      </c>
      <c r="N42" s="24" t="n">
        <v>45881</v>
      </c>
      <c r="O42" s="25" t="n">
        <f aca="false">INT((N42-D42)/365.25)</f>
        <v>19</v>
      </c>
      <c r="P42" s="12" t="s">
        <v>22</v>
      </c>
    </row>
    <row r="43" customFormat="false" ht="15" hidden="false" customHeight="false" outlineLevel="0" collapsed="false">
      <c r="A43" s="51" t="n">
        <v>39</v>
      </c>
      <c r="B43" s="10" t="n">
        <v>874479</v>
      </c>
      <c r="C43" s="10" t="s">
        <v>1728</v>
      </c>
      <c r="D43" s="60" t="n">
        <v>38220</v>
      </c>
      <c r="E43" s="10" t="s">
        <v>1538</v>
      </c>
      <c r="F43" s="61" t="s">
        <v>160</v>
      </c>
      <c r="G43" s="10" t="s">
        <v>1729</v>
      </c>
      <c r="H43" s="10" t="s">
        <v>1730</v>
      </c>
      <c r="I43" s="10" t="n">
        <v>1291804</v>
      </c>
      <c r="J43" s="10" t="n">
        <v>1459</v>
      </c>
      <c r="K43" s="10" t="s">
        <v>22</v>
      </c>
      <c r="L43" s="10" t="n">
        <v>82996027165</v>
      </c>
      <c r="M43" s="11" t="s">
        <v>1627</v>
      </c>
      <c r="N43" s="24" t="n">
        <v>45881</v>
      </c>
      <c r="O43" s="25" t="n">
        <f aca="false">INT((N43-D43)/365.25)</f>
        <v>20</v>
      </c>
      <c r="P43" s="12" t="s">
        <v>22</v>
      </c>
    </row>
    <row r="44" customFormat="false" ht="15" hidden="false" customHeight="false" outlineLevel="0" collapsed="false">
      <c r="A44" s="51" t="n">
        <v>40</v>
      </c>
      <c r="B44" s="10" t="n">
        <v>851734</v>
      </c>
      <c r="C44" s="10" t="s">
        <v>1731</v>
      </c>
      <c r="D44" s="60" t="n">
        <v>33732</v>
      </c>
      <c r="E44" s="10" t="s">
        <v>1586</v>
      </c>
      <c r="F44" s="61" t="s">
        <v>160</v>
      </c>
      <c r="G44" s="10" t="s">
        <v>1732</v>
      </c>
      <c r="H44" s="10" t="s">
        <v>1733</v>
      </c>
      <c r="I44" s="10" t="n">
        <v>917191</v>
      </c>
      <c r="J44" s="10" t="n">
        <v>9430</v>
      </c>
      <c r="K44" s="10" t="s">
        <v>22</v>
      </c>
      <c r="L44" s="10" t="n">
        <v>82981014042</v>
      </c>
      <c r="M44" s="11" t="s">
        <v>1627</v>
      </c>
      <c r="N44" s="24" t="n">
        <v>45881</v>
      </c>
      <c r="O44" s="25" t="n">
        <f aca="false">INT((N44-D44)/365.25)</f>
        <v>33</v>
      </c>
      <c r="P44" s="12" t="s">
        <v>22</v>
      </c>
    </row>
  </sheetData>
  <autoFilter ref="O1:O44"/>
  <mergeCells count="1">
    <mergeCell ref="A1:P2"/>
  </mergeCells>
  <conditionalFormatting sqref="O5:O44">
    <cfRule type="colorScale" priority="2">
      <colorScale>
        <cfvo type="num" val="17"/>
        <cfvo type="num" val="18"/>
        <color rgb="FFFF0000"/>
        <color rgb="FF92D050"/>
      </colorScale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true"/>
  </sheetPr>
  <dimension ref="A1:P4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M18" activeCellId="0" sqref="M18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6.86"/>
    <col collapsed="false" customWidth="true" hidden="false" outlineLevel="0" max="3" min="3" style="0" width="32.86"/>
    <col collapsed="false" customWidth="true" hidden="false" outlineLevel="0" max="4" min="4" style="0" width="9"/>
    <col collapsed="false" customWidth="true" hidden="false" outlineLevel="0" max="5" min="5" style="0" width="19.86"/>
    <col collapsed="false" customWidth="true" hidden="false" outlineLevel="0" max="6" min="6" style="0" width="6.43"/>
    <col collapsed="false" customWidth="true" hidden="false" outlineLevel="0" max="8" min="7" style="0" width="13"/>
    <col collapsed="false" customWidth="true" hidden="false" outlineLevel="0" max="9" min="9" style="0" width="7.72"/>
    <col collapsed="false" customWidth="true" hidden="false" outlineLevel="0" max="10" min="10" style="0" width="5"/>
    <col collapsed="false" customWidth="true" hidden="false" outlineLevel="0" max="11" min="11" style="0" width="7.57"/>
    <col collapsed="false" customWidth="true" hidden="true" outlineLevel="0" max="12" min="12" style="0" width="8.29"/>
    <col collapsed="false" customWidth="true" hidden="false" outlineLevel="0" max="13" min="13" style="0" width="20.14"/>
    <col collapsed="false" customWidth="true" hidden="false" outlineLevel="0" max="14" min="14" style="0" width="9.14"/>
    <col collapsed="false" customWidth="true" hidden="false" outlineLevel="0" max="15" min="15" style="0" width="5.71"/>
    <col collapsed="false" customWidth="true" hidden="false" outlineLevel="0" max="16" min="16" style="0" width="6.29"/>
    <col collapsed="false" customWidth="true" hidden="true" outlineLevel="0" max="17" min="17" style="0" width="10.43"/>
  </cols>
  <sheetData>
    <row r="1" customFormat="false" ht="15" hidden="false" customHeight="false" outlineLevel="0" collapsed="false">
      <c r="A1" s="18" t="s">
        <v>986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customFormat="false" ht="15" hidden="false" customHeight="false" outlineLevel="0" collapsed="false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customFormat="false" ht="15" hidden="false" customHeight="false" outlineLevel="0" collapsed="false">
      <c r="A3" s="43"/>
      <c r="B3" s="44" t="s">
        <v>1</v>
      </c>
      <c r="C3" s="44" t="s">
        <v>2</v>
      </c>
      <c r="D3" s="44" t="s">
        <v>3</v>
      </c>
      <c r="E3" s="44" t="s">
        <v>4</v>
      </c>
      <c r="F3" s="44" t="s">
        <v>5</v>
      </c>
      <c r="G3" s="45" t="s">
        <v>6</v>
      </c>
      <c r="H3" s="44" t="s">
        <v>7</v>
      </c>
      <c r="I3" s="44" t="s">
        <v>8</v>
      </c>
      <c r="J3" s="44" t="s">
        <v>9</v>
      </c>
      <c r="K3" s="44" t="s">
        <v>10</v>
      </c>
      <c r="L3" s="44" t="s">
        <v>1101</v>
      </c>
      <c r="M3" s="44" t="s">
        <v>11</v>
      </c>
      <c r="N3" s="44" t="s">
        <v>12</v>
      </c>
      <c r="O3" s="44" t="s">
        <v>13</v>
      </c>
      <c r="P3" s="44" t="s">
        <v>16</v>
      </c>
    </row>
    <row r="4" customFormat="false" ht="15" hidden="false" customHeight="false" outlineLevel="0" collapsed="false">
      <c r="A4" s="46"/>
      <c r="B4" s="47"/>
      <c r="C4" s="44" t="s">
        <v>1734</v>
      </c>
      <c r="D4" s="48"/>
      <c r="E4" s="47"/>
      <c r="F4" s="47"/>
      <c r="G4" s="47"/>
      <c r="H4" s="47"/>
      <c r="I4" s="47"/>
      <c r="J4" s="47"/>
      <c r="K4" s="47"/>
      <c r="L4" s="47"/>
      <c r="M4" s="49"/>
      <c r="N4" s="50"/>
      <c r="O4" s="44"/>
      <c r="P4" s="44"/>
    </row>
    <row r="5" customFormat="false" ht="15" hidden="false" customHeight="false" outlineLevel="0" collapsed="false">
      <c r="A5" s="51" t="n">
        <v>1</v>
      </c>
      <c r="B5" s="10" t="n">
        <v>855804</v>
      </c>
      <c r="C5" s="10" t="s">
        <v>1735</v>
      </c>
      <c r="D5" s="60" t="n">
        <v>32005</v>
      </c>
      <c r="E5" s="10" t="s">
        <v>1736</v>
      </c>
      <c r="F5" s="61" t="s">
        <v>1737</v>
      </c>
      <c r="G5" s="10" t="s">
        <v>1738</v>
      </c>
      <c r="H5" s="10" t="s">
        <v>1739</v>
      </c>
      <c r="I5" s="10" t="n">
        <v>3913391</v>
      </c>
      <c r="J5" s="10" t="n">
        <v>9836</v>
      </c>
      <c r="K5" s="10" t="s">
        <v>22</v>
      </c>
      <c r="L5" s="10"/>
      <c r="M5" s="11" t="s">
        <v>1740</v>
      </c>
      <c r="N5" s="24" t="n">
        <v>45883</v>
      </c>
      <c r="O5" s="25" t="n">
        <f aca="false">INT((N5-D5)/365.25)</f>
        <v>37</v>
      </c>
      <c r="P5" s="12" t="s">
        <v>22</v>
      </c>
    </row>
    <row r="6" customFormat="false" ht="15" hidden="false" customHeight="false" outlineLevel="0" collapsed="false">
      <c r="A6" s="51" t="n">
        <v>2</v>
      </c>
      <c r="B6" s="10" t="n">
        <v>874877</v>
      </c>
      <c r="C6" s="10" t="s">
        <v>1741</v>
      </c>
      <c r="D6" s="60" t="n">
        <v>37775</v>
      </c>
      <c r="E6" s="10" t="s">
        <v>1736</v>
      </c>
      <c r="F6" s="61" t="s">
        <v>1737</v>
      </c>
      <c r="G6" s="10" t="s">
        <v>1742</v>
      </c>
      <c r="H6" s="10" t="n">
        <v>8274758</v>
      </c>
      <c r="I6" s="10" t="n">
        <v>1159258</v>
      </c>
      <c r="J6" s="10" t="n">
        <v>9375</v>
      </c>
      <c r="K6" s="10" t="s">
        <v>22</v>
      </c>
      <c r="L6" s="10"/>
      <c r="M6" s="11" t="s">
        <v>1740</v>
      </c>
      <c r="N6" s="24" t="n">
        <v>45883</v>
      </c>
      <c r="O6" s="25" t="n">
        <f aca="false">INT((N6-D6)/365.25)</f>
        <v>22</v>
      </c>
      <c r="P6" s="12" t="s">
        <v>22</v>
      </c>
    </row>
    <row r="7" customFormat="false" ht="15" hidden="false" customHeight="false" outlineLevel="0" collapsed="false">
      <c r="A7" s="51" t="n">
        <v>3</v>
      </c>
      <c r="B7" s="10" t="n">
        <v>874933</v>
      </c>
      <c r="C7" s="10" t="s">
        <v>1743</v>
      </c>
      <c r="D7" s="60" t="n">
        <v>34491</v>
      </c>
      <c r="E7" s="10" t="s">
        <v>1736</v>
      </c>
      <c r="F7" s="61" t="s">
        <v>1737</v>
      </c>
      <c r="G7" s="10" t="s">
        <v>1744</v>
      </c>
      <c r="H7" s="10" t="s">
        <v>1745</v>
      </c>
      <c r="I7" s="10" t="n">
        <v>1200545</v>
      </c>
      <c r="J7" s="10" t="n">
        <v>60</v>
      </c>
      <c r="K7" s="10" t="s">
        <v>22</v>
      </c>
      <c r="L7" s="10"/>
      <c r="M7" s="11" t="s">
        <v>1740</v>
      </c>
      <c r="N7" s="24" t="n">
        <v>45883</v>
      </c>
      <c r="O7" s="25" t="n">
        <f aca="false">INT((N7-D7)/365.25)</f>
        <v>31</v>
      </c>
      <c r="P7" s="12" t="s">
        <v>22</v>
      </c>
    </row>
    <row r="8" customFormat="false" ht="15" hidden="false" customHeight="false" outlineLevel="0" collapsed="false">
      <c r="A8" s="51" t="n">
        <v>4</v>
      </c>
      <c r="B8" s="10" t="n">
        <v>874879</v>
      </c>
      <c r="C8" s="10" t="s">
        <v>1746</v>
      </c>
      <c r="D8" s="60" t="n">
        <v>35645</v>
      </c>
      <c r="E8" s="10" t="s">
        <v>1736</v>
      </c>
      <c r="F8" s="61" t="s">
        <v>1737</v>
      </c>
      <c r="G8" s="10" t="s">
        <v>1747</v>
      </c>
      <c r="H8" s="10" t="s">
        <v>1748</v>
      </c>
      <c r="I8" s="10" t="n">
        <v>669250</v>
      </c>
      <c r="J8" s="10" t="n">
        <v>1393</v>
      </c>
      <c r="K8" s="10" t="s">
        <v>22</v>
      </c>
      <c r="L8" s="10"/>
      <c r="M8" s="11" t="s">
        <v>1740</v>
      </c>
      <c r="N8" s="24" t="n">
        <v>45883</v>
      </c>
      <c r="O8" s="25" t="n">
        <f aca="false">INT((N8-D8)/365.25)</f>
        <v>28</v>
      </c>
      <c r="P8" s="12" t="s">
        <v>22</v>
      </c>
    </row>
    <row r="9" customFormat="false" ht="15" hidden="false" customHeight="false" outlineLevel="0" collapsed="false">
      <c r="A9" s="51" t="n">
        <v>5</v>
      </c>
      <c r="B9" s="10" t="n">
        <v>855809</v>
      </c>
      <c r="C9" s="10" t="s">
        <v>1749</v>
      </c>
      <c r="D9" s="60" t="n">
        <v>32672</v>
      </c>
      <c r="E9" s="10" t="s">
        <v>1750</v>
      </c>
      <c r="F9" s="61" t="s">
        <v>1737</v>
      </c>
      <c r="G9" s="10" t="s">
        <v>1751</v>
      </c>
      <c r="H9" s="10" t="s">
        <v>1752</v>
      </c>
      <c r="I9" s="10" t="n">
        <v>484682</v>
      </c>
      <c r="J9" s="10" t="n">
        <v>327</v>
      </c>
      <c r="K9" s="10" t="s">
        <v>22</v>
      </c>
      <c r="L9" s="10"/>
      <c r="M9" s="11" t="s">
        <v>1740</v>
      </c>
      <c r="N9" s="24" t="n">
        <v>45883</v>
      </c>
      <c r="O9" s="25" t="n">
        <f aca="false">INT((N9-D9)/365.25)</f>
        <v>36</v>
      </c>
      <c r="P9" s="12" t="s">
        <v>22</v>
      </c>
    </row>
    <row r="10" customFormat="false" ht="15" hidden="false" customHeight="false" outlineLevel="0" collapsed="false">
      <c r="A10" s="51" t="n">
        <v>6</v>
      </c>
      <c r="B10" s="10" t="n">
        <v>851888</v>
      </c>
      <c r="C10" s="10" t="s">
        <v>1753</v>
      </c>
      <c r="D10" s="60" t="n">
        <v>36561</v>
      </c>
      <c r="E10" s="10" t="s">
        <v>1754</v>
      </c>
      <c r="F10" s="61" t="s">
        <v>1737</v>
      </c>
      <c r="G10" s="10" t="s">
        <v>1755</v>
      </c>
      <c r="H10" s="10" t="n">
        <v>4067707</v>
      </c>
      <c r="I10" s="10" t="n">
        <v>6187043</v>
      </c>
      <c r="J10" s="10" t="n">
        <v>6342</v>
      </c>
      <c r="K10" s="10" t="s">
        <v>22</v>
      </c>
      <c r="L10" s="10"/>
      <c r="M10" s="11" t="s">
        <v>1740</v>
      </c>
      <c r="N10" s="24" t="n">
        <v>45883</v>
      </c>
      <c r="O10" s="25" t="n">
        <f aca="false">INT((N10-D10)/365.25)</f>
        <v>25</v>
      </c>
      <c r="P10" s="12" t="s">
        <v>22</v>
      </c>
    </row>
    <row r="11" customFormat="false" ht="15" hidden="false" customHeight="false" outlineLevel="0" collapsed="false">
      <c r="A11" s="51" t="n">
        <v>7</v>
      </c>
      <c r="B11" s="10" t="n">
        <v>843518</v>
      </c>
      <c r="C11" s="10" t="s">
        <v>1756</v>
      </c>
      <c r="D11" s="60" t="n">
        <v>32888</v>
      </c>
      <c r="E11" s="10" t="s">
        <v>1750</v>
      </c>
      <c r="F11" s="61" t="s">
        <v>1737</v>
      </c>
      <c r="G11" s="10" t="s">
        <v>1757</v>
      </c>
      <c r="H11" s="10" t="s">
        <v>1758</v>
      </c>
      <c r="I11" s="10" t="n">
        <v>459216</v>
      </c>
      <c r="J11" s="10" t="n">
        <v>2366</v>
      </c>
      <c r="K11" s="10" t="s">
        <v>22</v>
      </c>
      <c r="L11" s="10"/>
      <c r="M11" s="11" t="s">
        <v>1740</v>
      </c>
      <c r="N11" s="24" t="n">
        <v>45883</v>
      </c>
      <c r="O11" s="25" t="n">
        <f aca="false">INT((N11-D11)/365.25)</f>
        <v>35</v>
      </c>
      <c r="P11" s="12" t="s">
        <v>22</v>
      </c>
    </row>
    <row r="12" customFormat="false" ht="15" hidden="false" customHeight="false" outlineLevel="0" collapsed="false">
      <c r="A12" s="51" t="n">
        <v>8</v>
      </c>
      <c r="B12" s="10" t="n">
        <v>874881</v>
      </c>
      <c r="C12" s="10" t="s">
        <v>1759</v>
      </c>
      <c r="D12" s="60" t="n">
        <v>36616</v>
      </c>
      <c r="E12" s="10" t="s">
        <v>1750</v>
      </c>
      <c r="F12" s="61" t="s">
        <v>1737</v>
      </c>
      <c r="G12" s="10" t="s">
        <v>1760</v>
      </c>
      <c r="H12" s="10" t="n">
        <v>4421937</v>
      </c>
      <c r="I12" s="10" t="n">
        <v>851371</v>
      </c>
      <c r="J12" s="10" t="n">
        <v>4324</v>
      </c>
      <c r="K12" s="10" t="s">
        <v>22</v>
      </c>
      <c r="L12" s="10"/>
      <c r="M12" s="11" t="s">
        <v>1740</v>
      </c>
      <c r="N12" s="24" t="n">
        <v>45883</v>
      </c>
      <c r="O12" s="25" t="n">
        <f aca="false">INT((N12-D12)/365.25)</f>
        <v>25</v>
      </c>
      <c r="P12" s="12" t="s">
        <v>22</v>
      </c>
    </row>
    <row r="13" customFormat="false" ht="15" hidden="false" customHeight="false" outlineLevel="0" collapsed="false">
      <c r="A13" s="51" t="n">
        <v>9</v>
      </c>
      <c r="B13" s="10" t="n">
        <v>874882</v>
      </c>
      <c r="C13" s="10" t="s">
        <v>1761</v>
      </c>
      <c r="D13" s="60" t="n">
        <v>34920</v>
      </c>
      <c r="E13" s="10" t="s">
        <v>1736</v>
      </c>
      <c r="F13" s="61" t="s">
        <v>1737</v>
      </c>
      <c r="G13" s="10" t="s">
        <v>1762</v>
      </c>
      <c r="H13" s="10" t="s">
        <v>1763</v>
      </c>
      <c r="I13" s="10" t="n">
        <v>633968</v>
      </c>
      <c r="J13" s="10" t="n">
        <v>4122</v>
      </c>
      <c r="K13" s="10" t="s">
        <v>22</v>
      </c>
      <c r="L13" s="10"/>
      <c r="M13" s="11" t="s">
        <v>1740</v>
      </c>
      <c r="N13" s="24" t="n">
        <v>45883</v>
      </c>
      <c r="O13" s="25" t="n">
        <f aca="false">INT((N13-D13)/365.25)</f>
        <v>30</v>
      </c>
      <c r="P13" s="12" t="s">
        <v>22</v>
      </c>
    </row>
    <row r="14" customFormat="false" ht="15" hidden="false" customHeight="false" outlineLevel="0" collapsed="false">
      <c r="A14" s="51" t="n">
        <v>10</v>
      </c>
      <c r="B14" s="10" t="n">
        <v>874883</v>
      </c>
      <c r="C14" s="10" t="s">
        <v>1764</v>
      </c>
      <c r="D14" s="60" t="n">
        <v>33392</v>
      </c>
      <c r="E14" s="10" t="s">
        <v>1754</v>
      </c>
      <c r="F14" s="61" t="s">
        <v>1737</v>
      </c>
      <c r="G14" s="10" t="s">
        <v>1765</v>
      </c>
      <c r="H14" s="10" t="n">
        <v>3289685</v>
      </c>
      <c r="I14" s="10" t="n">
        <v>4407041</v>
      </c>
      <c r="J14" s="10" t="n">
        <v>50</v>
      </c>
      <c r="K14" s="10" t="s">
        <v>22</v>
      </c>
      <c r="L14" s="10"/>
      <c r="M14" s="11" t="s">
        <v>1740</v>
      </c>
      <c r="N14" s="24" t="n">
        <v>45883</v>
      </c>
      <c r="O14" s="25" t="n">
        <f aca="false">INT((N14-D14)/365.25)</f>
        <v>34</v>
      </c>
      <c r="P14" s="12" t="s">
        <v>22</v>
      </c>
    </row>
    <row r="15" customFormat="false" ht="15" hidden="false" customHeight="false" outlineLevel="0" collapsed="false">
      <c r="A15" s="51" t="n">
        <v>11</v>
      </c>
      <c r="B15" s="10" t="n">
        <v>856276</v>
      </c>
      <c r="C15" s="10" t="s">
        <v>1766</v>
      </c>
      <c r="D15" s="60" t="n">
        <v>36440</v>
      </c>
      <c r="E15" s="10" t="s">
        <v>1736</v>
      </c>
      <c r="F15" s="61" t="s">
        <v>1737</v>
      </c>
      <c r="G15" s="10" t="s">
        <v>1767</v>
      </c>
      <c r="H15" s="10" t="n">
        <v>4067708</v>
      </c>
      <c r="I15" s="10" t="n">
        <v>7806763</v>
      </c>
      <c r="J15" s="10" t="n">
        <v>50</v>
      </c>
      <c r="K15" s="10" t="s">
        <v>22</v>
      </c>
      <c r="L15" s="10"/>
      <c r="M15" s="11" t="s">
        <v>1740</v>
      </c>
      <c r="N15" s="24" t="n">
        <v>45883</v>
      </c>
      <c r="O15" s="25" t="n">
        <f aca="false">INT((N15-D15)/365.25)</f>
        <v>25</v>
      </c>
      <c r="P15" s="12" t="s">
        <v>22</v>
      </c>
    </row>
    <row r="16" customFormat="false" ht="15" hidden="false" customHeight="false" outlineLevel="0" collapsed="false">
      <c r="A16" s="51" t="n">
        <v>12</v>
      </c>
      <c r="B16" s="10" t="n">
        <v>874937</v>
      </c>
      <c r="C16" s="10" t="s">
        <v>1768</v>
      </c>
      <c r="D16" s="60" t="n">
        <v>38504</v>
      </c>
      <c r="E16" s="10" t="s">
        <v>1750</v>
      </c>
      <c r="F16" s="61" t="s">
        <v>1737</v>
      </c>
      <c r="G16" s="10" t="s">
        <v>1769</v>
      </c>
      <c r="H16" s="10" t="n">
        <v>8004084</v>
      </c>
      <c r="I16" s="10" t="n">
        <v>976847</v>
      </c>
      <c r="J16" s="10" t="n">
        <v>2308</v>
      </c>
      <c r="K16" s="10" t="s">
        <v>22</v>
      </c>
      <c r="L16" s="10"/>
      <c r="M16" s="11" t="s">
        <v>1740</v>
      </c>
      <c r="N16" s="24" t="n">
        <v>45883</v>
      </c>
      <c r="O16" s="25" t="n">
        <f aca="false">INT((N16-D16)/365.25)</f>
        <v>20</v>
      </c>
      <c r="P16" s="12" t="s">
        <v>22</v>
      </c>
    </row>
    <row r="17" customFormat="false" ht="15" hidden="false" customHeight="false" outlineLevel="0" collapsed="false">
      <c r="A17" s="51" t="n">
        <v>13</v>
      </c>
      <c r="B17" s="10" t="n">
        <v>853760</v>
      </c>
      <c r="C17" s="10" t="s">
        <v>1770</v>
      </c>
      <c r="D17" s="60" t="n">
        <v>35416</v>
      </c>
      <c r="E17" s="10" t="s">
        <v>1754</v>
      </c>
      <c r="F17" s="61" t="s">
        <v>1737</v>
      </c>
      <c r="G17" s="10" t="s">
        <v>1771</v>
      </c>
      <c r="H17" s="10" t="s">
        <v>1772</v>
      </c>
      <c r="I17" s="10" t="n">
        <v>48116</v>
      </c>
      <c r="J17" s="10" t="n">
        <v>19</v>
      </c>
      <c r="K17" s="10" t="s">
        <v>22</v>
      </c>
      <c r="L17" s="10"/>
      <c r="M17" s="11" t="s">
        <v>1740</v>
      </c>
      <c r="N17" s="24" t="n">
        <v>45883</v>
      </c>
      <c r="O17" s="25" t="n">
        <f aca="false">INT((N17-D17)/365.25)</f>
        <v>28</v>
      </c>
      <c r="P17" s="12" t="s">
        <v>22</v>
      </c>
    </row>
    <row r="18" customFormat="false" ht="15" hidden="false" customHeight="false" outlineLevel="0" collapsed="false">
      <c r="A18" s="51" t="n">
        <v>14</v>
      </c>
      <c r="B18" s="10" t="n">
        <v>852542</v>
      </c>
      <c r="C18" s="10" t="s">
        <v>1773</v>
      </c>
      <c r="D18" s="60" t="n">
        <v>31802</v>
      </c>
      <c r="E18" s="10" t="s">
        <v>1754</v>
      </c>
      <c r="F18" s="61" t="s">
        <v>1737</v>
      </c>
      <c r="G18" s="10" t="s">
        <v>1774</v>
      </c>
      <c r="H18" s="10" t="n">
        <v>321464</v>
      </c>
      <c r="I18" s="10" t="n">
        <v>4351</v>
      </c>
      <c r="J18" s="10" t="n">
        <v>26</v>
      </c>
      <c r="K18" s="10" t="s">
        <v>22</v>
      </c>
      <c r="L18" s="10"/>
      <c r="M18" s="11" t="s">
        <v>1740</v>
      </c>
      <c r="N18" s="24" t="n">
        <v>45883</v>
      </c>
      <c r="O18" s="25" t="n">
        <f aca="false">INT((N18-D18)/365.25)</f>
        <v>38</v>
      </c>
      <c r="P18" s="12" t="s">
        <v>22</v>
      </c>
    </row>
    <row r="19" customFormat="false" ht="15" hidden="false" customHeight="false" outlineLevel="0" collapsed="false">
      <c r="A19" s="51" t="n">
        <v>15</v>
      </c>
      <c r="B19" s="10" t="n">
        <v>851933</v>
      </c>
      <c r="C19" s="10" t="s">
        <v>1775</v>
      </c>
      <c r="D19" s="60" t="n">
        <v>29629</v>
      </c>
      <c r="E19" s="10" t="s">
        <v>1750</v>
      </c>
      <c r="F19" s="61" t="s">
        <v>1737</v>
      </c>
      <c r="G19" s="10" t="s">
        <v>1776</v>
      </c>
      <c r="H19" s="10" t="s">
        <v>1777</v>
      </c>
      <c r="I19" s="10" t="n">
        <v>40327</v>
      </c>
      <c r="J19" s="10" t="n">
        <v>6390</v>
      </c>
      <c r="K19" s="10" t="s">
        <v>22</v>
      </c>
      <c r="L19" s="10"/>
      <c r="M19" s="11" t="s">
        <v>1740</v>
      </c>
      <c r="N19" s="24" t="n">
        <v>45883</v>
      </c>
      <c r="O19" s="25" t="n">
        <f aca="false">INT((N19-D19)/365.25)</f>
        <v>44</v>
      </c>
      <c r="P19" s="12" t="s">
        <v>22</v>
      </c>
    </row>
    <row r="20" customFormat="false" ht="15" hidden="false" customHeight="false" outlineLevel="0" collapsed="false">
      <c r="A20" s="51" t="n">
        <v>16</v>
      </c>
      <c r="B20" s="10" t="n">
        <v>856277</v>
      </c>
      <c r="C20" s="10" t="s">
        <v>1778</v>
      </c>
      <c r="D20" s="60" t="n">
        <v>38041</v>
      </c>
      <c r="E20" s="10" t="s">
        <v>1736</v>
      </c>
      <c r="F20" s="61" t="s">
        <v>1737</v>
      </c>
      <c r="G20" s="10" t="s">
        <v>1779</v>
      </c>
      <c r="H20" s="10" t="s">
        <v>1780</v>
      </c>
      <c r="I20" s="10" t="n">
        <v>995737</v>
      </c>
      <c r="J20" s="10" t="n">
        <v>1347</v>
      </c>
      <c r="K20" s="10" t="s">
        <v>22</v>
      </c>
      <c r="L20" s="10"/>
      <c r="M20" s="11" t="s">
        <v>1740</v>
      </c>
      <c r="N20" s="24" t="n">
        <v>45883</v>
      </c>
      <c r="O20" s="25" t="n">
        <f aca="false">INT((N20-D20)/365.25)</f>
        <v>21</v>
      </c>
      <c r="P20" s="12" t="s">
        <v>22</v>
      </c>
    </row>
    <row r="21" customFormat="false" ht="15" hidden="false" customHeight="false" outlineLevel="0" collapsed="false">
      <c r="A21" s="51" t="n">
        <v>17</v>
      </c>
      <c r="B21" s="10" t="n">
        <v>874911</v>
      </c>
      <c r="C21" s="10" t="s">
        <v>1781</v>
      </c>
      <c r="D21" s="60" t="n">
        <v>38253</v>
      </c>
      <c r="E21" s="10" t="s">
        <v>1750</v>
      </c>
      <c r="F21" s="61" t="s">
        <v>1737</v>
      </c>
      <c r="G21" s="10" t="s">
        <v>1782</v>
      </c>
      <c r="H21" s="10" t="s">
        <v>1783</v>
      </c>
      <c r="I21" s="10" t="n">
        <v>1047906</v>
      </c>
      <c r="J21" s="10" t="n">
        <v>3338</v>
      </c>
      <c r="K21" s="10" t="s">
        <v>22</v>
      </c>
      <c r="L21" s="10"/>
      <c r="M21" s="11" t="s">
        <v>1740</v>
      </c>
      <c r="N21" s="24" t="n">
        <v>45883</v>
      </c>
      <c r="O21" s="25" t="n">
        <f aca="false">INT((N21-D21)/365.25)</f>
        <v>20</v>
      </c>
      <c r="P21" s="12" t="s">
        <v>22</v>
      </c>
    </row>
    <row r="22" customFormat="false" ht="15" hidden="false" customHeight="false" outlineLevel="0" collapsed="false">
      <c r="A22" s="51" t="n">
        <v>18</v>
      </c>
      <c r="B22" s="10" t="n">
        <v>874885</v>
      </c>
      <c r="C22" s="10" t="s">
        <v>1784</v>
      </c>
      <c r="D22" s="60" t="n">
        <v>37397</v>
      </c>
      <c r="E22" s="10" t="s">
        <v>1736</v>
      </c>
      <c r="F22" s="61" t="s">
        <v>1737</v>
      </c>
      <c r="G22" s="10" t="s">
        <v>1785</v>
      </c>
      <c r="H22" s="10" t="s">
        <v>1786</v>
      </c>
      <c r="I22" s="10" t="n">
        <v>1016116</v>
      </c>
      <c r="J22" s="10" t="n">
        <v>6326</v>
      </c>
      <c r="K22" s="10" t="s">
        <v>22</v>
      </c>
      <c r="L22" s="10"/>
      <c r="M22" s="11" t="s">
        <v>1740</v>
      </c>
      <c r="N22" s="24" t="n">
        <v>45883</v>
      </c>
      <c r="O22" s="25" t="n">
        <f aca="false">INT((N22-D22)/365.25)</f>
        <v>23</v>
      </c>
      <c r="P22" s="12" t="s">
        <v>22</v>
      </c>
    </row>
    <row r="23" customFormat="false" ht="15" hidden="false" customHeight="false" outlineLevel="0" collapsed="false">
      <c r="A23" s="51" t="n">
        <v>19</v>
      </c>
      <c r="B23" s="10" t="n">
        <v>851935</v>
      </c>
      <c r="C23" s="10" t="s">
        <v>1787</v>
      </c>
      <c r="D23" s="60" t="n">
        <v>38462</v>
      </c>
      <c r="E23" s="10" t="s">
        <v>1750</v>
      </c>
      <c r="F23" s="61" t="s">
        <v>1737</v>
      </c>
      <c r="G23" s="10" t="s">
        <v>1788</v>
      </c>
      <c r="H23" s="10" t="s">
        <v>1789</v>
      </c>
      <c r="I23" s="10" t="n">
        <v>826492</v>
      </c>
      <c r="J23" s="10" t="n">
        <v>4360</v>
      </c>
      <c r="K23" s="10" t="s">
        <v>22</v>
      </c>
      <c r="L23" s="10"/>
      <c r="M23" s="11" t="s">
        <v>1740</v>
      </c>
      <c r="N23" s="24" t="n">
        <v>45883</v>
      </c>
      <c r="O23" s="25" t="n">
        <f aca="false">INT((N23-D23)/365.25)</f>
        <v>20</v>
      </c>
      <c r="P23" s="12" t="s">
        <v>22</v>
      </c>
    </row>
    <row r="24" customFormat="false" ht="15" hidden="false" customHeight="false" outlineLevel="0" collapsed="false">
      <c r="A24" s="51" t="n">
        <v>20</v>
      </c>
      <c r="B24" s="10" t="n">
        <v>874913</v>
      </c>
      <c r="C24" s="10" t="s">
        <v>1790</v>
      </c>
      <c r="D24" s="60" t="n">
        <v>37773</v>
      </c>
      <c r="E24" s="10" t="s">
        <v>1736</v>
      </c>
      <c r="F24" s="61" t="s">
        <v>1737</v>
      </c>
      <c r="G24" s="10" t="s">
        <v>1791</v>
      </c>
      <c r="H24" s="10" t="s">
        <v>1792</v>
      </c>
      <c r="I24" s="10" t="n">
        <v>936990</v>
      </c>
      <c r="J24" s="10" t="n">
        <v>6355</v>
      </c>
      <c r="K24" s="10" t="s">
        <v>22</v>
      </c>
      <c r="L24" s="10"/>
      <c r="M24" s="11" t="s">
        <v>1740</v>
      </c>
      <c r="N24" s="24" t="n">
        <v>45883</v>
      </c>
      <c r="O24" s="25" t="n">
        <f aca="false">INT((N24-D24)/365.25)</f>
        <v>22</v>
      </c>
      <c r="P24" s="12" t="s">
        <v>22</v>
      </c>
    </row>
    <row r="25" customFormat="false" ht="15" hidden="false" customHeight="false" outlineLevel="0" collapsed="false">
      <c r="A25" s="51" t="n">
        <v>21</v>
      </c>
      <c r="B25" s="10" t="n">
        <v>874887</v>
      </c>
      <c r="C25" s="10" t="s">
        <v>1793</v>
      </c>
      <c r="D25" s="60" t="n">
        <v>33639</v>
      </c>
      <c r="E25" s="10" t="s">
        <v>1754</v>
      </c>
      <c r="F25" s="61" t="s">
        <v>1737</v>
      </c>
      <c r="G25" s="10" t="s">
        <v>1794</v>
      </c>
      <c r="H25" s="10" t="s">
        <v>1795</v>
      </c>
      <c r="I25" s="10" t="n">
        <v>500177</v>
      </c>
      <c r="J25" s="10" t="n">
        <v>1390</v>
      </c>
      <c r="K25" s="10" t="s">
        <v>22</v>
      </c>
      <c r="L25" s="10"/>
      <c r="M25" s="11" t="s">
        <v>1740</v>
      </c>
      <c r="N25" s="24" t="n">
        <v>45883</v>
      </c>
      <c r="O25" s="25" t="n">
        <f aca="false">INT((N25-D25)/365.25)</f>
        <v>33</v>
      </c>
      <c r="P25" s="12" t="s">
        <v>22</v>
      </c>
    </row>
    <row r="26" customFormat="false" ht="15" hidden="false" customHeight="false" outlineLevel="0" collapsed="false">
      <c r="A26" s="51" t="n">
        <v>22</v>
      </c>
      <c r="B26" s="10" t="n">
        <v>874889</v>
      </c>
      <c r="C26" s="10" t="s">
        <v>1796</v>
      </c>
      <c r="D26" s="60" t="n">
        <v>37041</v>
      </c>
      <c r="E26" s="10" t="s">
        <v>1754</v>
      </c>
      <c r="F26" s="61" t="s">
        <v>1737</v>
      </c>
      <c r="G26" s="10" t="s">
        <v>1797</v>
      </c>
      <c r="H26" s="10" t="s">
        <v>1798</v>
      </c>
      <c r="I26" s="10" t="n">
        <v>6360485</v>
      </c>
      <c r="J26" s="10" t="n">
        <v>5322</v>
      </c>
      <c r="K26" s="10" t="s">
        <v>22</v>
      </c>
      <c r="L26" s="10"/>
      <c r="M26" s="11" t="s">
        <v>1740</v>
      </c>
      <c r="N26" s="24" t="n">
        <v>45883</v>
      </c>
      <c r="O26" s="25" t="n">
        <f aca="false">INT((N26-D26)/365.25)</f>
        <v>24</v>
      </c>
      <c r="P26" s="12" t="s">
        <v>22</v>
      </c>
    </row>
    <row r="27" customFormat="false" ht="15" hidden="false" customHeight="false" outlineLevel="0" collapsed="false">
      <c r="A27" s="51" t="n">
        <v>23</v>
      </c>
      <c r="B27" s="10" t="n">
        <v>874891</v>
      </c>
      <c r="C27" s="10" t="s">
        <v>1799</v>
      </c>
      <c r="D27" s="60" t="n">
        <v>38360</v>
      </c>
      <c r="E27" s="10" t="s">
        <v>1750</v>
      </c>
      <c r="F27" s="61" t="s">
        <v>1737</v>
      </c>
      <c r="G27" s="10" t="s">
        <v>1800</v>
      </c>
      <c r="H27" s="10" t="n">
        <v>4551278</v>
      </c>
      <c r="I27" s="10" t="n">
        <v>879772</v>
      </c>
      <c r="J27" s="10" t="n">
        <v>6389</v>
      </c>
      <c r="K27" s="10" t="s">
        <v>22</v>
      </c>
      <c r="L27" s="10"/>
      <c r="M27" s="11" t="s">
        <v>1740</v>
      </c>
      <c r="N27" s="24" t="n">
        <v>45883</v>
      </c>
      <c r="O27" s="25" t="n">
        <f aca="false">INT((N27-D27)/365.25)</f>
        <v>20</v>
      </c>
      <c r="P27" s="12" t="s">
        <v>22</v>
      </c>
    </row>
    <row r="28" customFormat="false" ht="15" hidden="false" customHeight="false" outlineLevel="0" collapsed="false">
      <c r="A28" s="51" t="n">
        <v>24</v>
      </c>
      <c r="B28" s="10" t="n">
        <v>874890</v>
      </c>
      <c r="C28" s="10" t="s">
        <v>1801</v>
      </c>
      <c r="D28" s="60" t="n">
        <v>38959</v>
      </c>
      <c r="E28" s="10" t="s">
        <v>1750</v>
      </c>
      <c r="F28" s="61" t="s">
        <v>1737</v>
      </c>
      <c r="G28" s="10" t="s">
        <v>1802</v>
      </c>
      <c r="H28" s="10" t="s">
        <v>1803</v>
      </c>
      <c r="I28" s="10" t="n">
        <v>873960</v>
      </c>
      <c r="J28" s="10" t="n">
        <v>5302</v>
      </c>
      <c r="K28" s="10" t="s">
        <v>22</v>
      </c>
      <c r="L28" s="10"/>
      <c r="M28" s="11" t="s">
        <v>1740</v>
      </c>
      <c r="N28" s="24" t="n">
        <v>45883</v>
      </c>
      <c r="O28" s="25" t="n">
        <f aca="false">INT((N28-D28)/365.25)</f>
        <v>18</v>
      </c>
      <c r="P28" s="12" t="s">
        <v>22</v>
      </c>
    </row>
    <row r="29" customFormat="false" ht="15" hidden="false" customHeight="false" outlineLevel="0" collapsed="false">
      <c r="A29" s="51" t="n">
        <v>25</v>
      </c>
      <c r="B29" s="10" t="n">
        <v>874892</v>
      </c>
      <c r="C29" s="10" t="s">
        <v>1804</v>
      </c>
      <c r="D29" s="60" t="n">
        <v>37869</v>
      </c>
      <c r="E29" s="10" t="s">
        <v>1736</v>
      </c>
      <c r="F29" s="61" t="s">
        <v>1737</v>
      </c>
      <c r="G29" s="10" t="s">
        <v>1805</v>
      </c>
      <c r="H29" s="10" t="s">
        <v>1806</v>
      </c>
      <c r="I29" s="10" t="n">
        <v>1084502</v>
      </c>
      <c r="J29" s="10" t="n">
        <v>9339</v>
      </c>
      <c r="K29" s="10" t="s">
        <v>22</v>
      </c>
      <c r="L29" s="10"/>
      <c r="M29" s="11" t="s">
        <v>1740</v>
      </c>
      <c r="N29" s="24" t="n">
        <v>45883</v>
      </c>
      <c r="O29" s="25" t="n">
        <f aca="false">INT((N29-D29)/365.25)</f>
        <v>21</v>
      </c>
      <c r="P29" s="12" t="s">
        <v>22</v>
      </c>
    </row>
    <row r="30" customFormat="false" ht="15" hidden="false" customHeight="false" outlineLevel="0" collapsed="false">
      <c r="A30" s="51" t="n">
        <v>26</v>
      </c>
      <c r="B30" s="52" t="n">
        <v>851879</v>
      </c>
      <c r="C30" s="52" t="s">
        <v>1807</v>
      </c>
      <c r="D30" s="60" t="n">
        <v>30316</v>
      </c>
      <c r="E30" s="10" t="s">
        <v>1736</v>
      </c>
      <c r="F30" s="61" t="s">
        <v>1737</v>
      </c>
      <c r="G30" s="10" t="s">
        <v>1808</v>
      </c>
      <c r="H30" s="10" t="s">
        <v>1808</v>
      </c>
      <c r="I30" s="10" t="n">
        <v>106809</v>
      </c>
      <c r="J30" s="10" t="n">
        <v>3340</v>
      </c>
      <c r="K30" s="10" t="s">
        <v>22</v>
      </c>
      <c r="L30" s="10"/>
      <c r="M30" s="11" t="s">
        <v>1740</v>
      </c>
      <c r="N30" s="24" t="n">
        <v>45883</v>
      </c>
      <c r="O30" s="25" t="n">
        <f aca="false">INT((N30-D30)/365.25)</f>
        <v>42</v>
      </c>
      <c r="P30" s="12" t="s">
        <v>22</v>
      </c>
    </row>
    <row r="31" customFormat="false" ht="15" hidden="false" customHeight="false" outlineLevel="0" collapsed="false">
      <c r="A31" s="51" t="n">
        <v>27</v>
      </c>
      <c r="B31" s="10" t="n">
        <v>860736</v>
      </c>
      <c r="C31" s="10" t="s">
        <v>1809</v>
      </c>
      <c r="D31" s="60" t="n">
        <v>37514</v>
      </c>
      <c r="E31" s="10" t="s">
        <v>1750</v>
      </c>
      <c r="F31" s="61" t="s">
        <v>1737</v>
      </c>
      <c r="G31" s="10" t="s">
        <v>1810</v>
      </c>
      <c r="H31" s="10" t="n">
        <v>4379760</v>
      </c>
      <c r="I31" s="10" t="n">
        <v>827547</v>
      </c>
      <c r="J31" s="10" t="n">
        <v>1370</v>
      </c>
      <c r="K31" s="10" t="s">
        <v>22</v>
      </c>
      <c r="L31" s="10"/>
      <c r="M31" s="11" t="s">
        <v>1740</v>
      </c>
      <c r="N31" s="24" t="n">
        <v>45883</v>
      </c>
      <c r="O31" s="25" t="n">
        <f aca="false">INT((N31-D31)/365.25)</f>
        <v>22</v>
      </c>
      <c r="P31" s="12" t="s">
        <v>22</v>
      </c>
    </row>
    <row r="32" customFormat="false" ht="15" hidden="false" customHeight="false" outlineLevel="0" collapsed="false">
      <c r="A32" s="51" t="n">
        <v>28</v>
      </c>
      <c r="B32" s="10" t="n">
        <v>848507</v>
      </c>
      <c r="C32" s="10" t="s">
        <v>1811</v>
      </c>
      <c r="D32" s="60" t="n">
        <v>36259</v>
      </c>
      <c r="E32" s="10" t="s">
        <v>1754</v>
      </c>
      <c r="F32" s="61" t="s">
        <v>1737</v>
      </c>
      <c r="G32" s="10" t="s">
        <v>1812</v>
      </c>
      <c r="H32" s="10" t="n">
        <v>4392884</v>
      </c>
      <c r="I32" s="10" t="n">
        <v>34484</v>
      </c>
      <c r="J32" s="10" t="n">
        <v>424</v>
      </c>
      <c r="K32" s="10" t="s">
        <v>22</v>
      </c>
      <c r="L32" s="10"/>
      <c r="M32" s="11" t="s">
        <v>1740</v>
      </c>
      <c r="N32" s="24" t="n">
        <v>45883</v>
      </c>
      <c r="O32" s="25" t="n">
        <f aca="false">INT((N32-D32)/365.25)</f>
        <v>26</v>
      </c>
      <c r="P32" s="12" t="s">
        <v>22</v>
      </c>
    </row>
    <row r="33" customFormat="false" ht="15" hidden="false" customHeight="false" outlineLevel="0" collapsed="false">
      <c r="A33" s="51" t="n">
        <v>29</v>
      </c>
      <c r="B33" s="10" t="n">
        <v>856283</v>
      </c>
      <c r="C33" s="10" t="s">
        <v>1813</v>
      </c>
      <c r="D33" s="60" t="n">
        <v>35432</v>
      </c>
      <c r="E33" s="10" t="s">
        <v>1750</v>
      </c>
      <c r="F33" s="61" t="s">
        <v>1737</v>
      </c>
      <c r="G33" s="10" t="s">
        <v>1814</v>
      </c>
      <c r="H33" s="10" t="n">
        <v>4448780</v>
      </c>
      <c r="I33" s="10" t="n">
        <v>840899</v>
      </c>
      <c r="J33" s="10" t="n">
        <v>330</v>
      </c>
      <c r="K33" s="10" t="s">
        <v>22</v>
      </c>
      <c r="L33" s="10"/>
      <c r="M33" s="11" t="s">
        <v>1740</v>
      </c>
      <c r="N33" s="24" t="n">
        <v>45883</v>
      </c>
      <c r="O33" s="25" t="n">
        <f aca="false">INT((N33-D33)/365.25)</f>
        <v>28</v>
      </c>
      <c r="P33" s="12" t="s">
        <v>22</v>
      </c>
    </row>
    <row r="34" customFormat="false" ht="15" hidden="false" customHeight="false" outlineLevel="0" collapsed="false">
      <c r="A34" s="51" t="n">
        <v>30</v>
      </c>
      <c r="B34" s="10" t="n">
        <v>874922</v>
      </c>
      <c r="C34" s="10" t="s">
        <v>1815</v>
      </c>
      <c r="D34" s="60" t="n">
        <v>37491</v>
      </c>
      <c r="E34" s="10" t="s">
        <v>1754</v>
      </c>
      <c r="F34" s="61" t="s">
        <v>1737</v>
      </c>
      <c r="G34" s="10" t="s">
        <v>1816</v>
      </c>
      <c r="H34" s="10" t="n">
        <v>8291989</v>
      </c>
      <c r="I34" s="10" t="n">
        <v>907034</v>
      </c>
      <c r="J34" s="10" t="n">
        <v>3304</v>
      </c>
      <c r="K34" s="10" t="s">
        <v>1509</v>
      </c>
      <c r="L34" s="10"/>
      <c r="M34" s="11" t="s">
        <v>1740</v>
      </c>
      <c r="N34" s="24" t="n">
        <v>45883</v>
      </c>
      <c r="O34" s="25" t="n">
        <f aca="false">INT((N34-D34)/365.25)</f>
        <v>22</v>
      </c>
      <c r="P34" s="12" t="s">
        <v>22</v>
      </c>
    </row>
    <row r="35" customFormat="false" ht="15" hidden="false" customHeight="false" outlineLevel="0" collapsed="false">
      <c r="A35" s="51" t="n">
        <v>31</v>
      </c>
      <c r="B35" s="10" t="n">
        <v>874923</v>
      </c>
      <c r="C35" s="10" t="s">
        <v>1817</v>
      </c>
      <c r="D35" s="60" t="n">
        <v>33342</v>
      </c>
      <c r="E35" s="10" t="s">
        <v>1736</v>
      </c>
      <c r="F35" s="61" t="s">
        <v>1737</v>
      </c>
      <c r="G35" s="10" t="s">
        <v>1818</v>
      </c>
      <c r="H35" s="10" t="n">
        <v>3244762</v>
      </c>
      <c r="I35" s="10" t="n">
        <v>506118</v>
      </c>
      <c r="J35" s="10" t="n">
        <v>1344</v>
      </c>
      <c r="K35" s="10" t="s">
        <v>22</v>
      </c>
      <c r="L35" s="10"/>
      <c r="M35" s="11" t="s">
        <v>1740</v>
      </c>
      <c r="N35" s="24" t="n">
        <v>45883</v>
      </c>
      <c r="O35" s="25" t="n">
        <f aca="false">INT((N35-D35)/365.25)</f>
        <v>34</v>
      </c>
      <c r="P35" s="12" t="s">
        <v>22</v>
      </c>
    </row>
    <row r="36" customFormat="false" ht="15" hidden="false" customHeight="false" outlineLevel="0" collapsed="false">
      <c r="A36" s="51" t="n">
        <v>32</v>
      </c>
      <c r="B36" s="10" t="n">
        <v>874925</v>
      </c>
      <c r="C36" s="10" t="s">
        <v>1819</v>
      </c>
      <c r="D36" s="60" t="n">
        <v>35151</v>
      </c>
      <c r="E36" s="10" t="s">
        <v>1750</v>
      </c>
      <c r="F36" s="61" t="s">
        <v>1737</v>
      </c>
      <c r="G36" s="10" t="s">
        <v>1820</v>
      </c>
      <c r="H36" s="10" t="s">
        <v>1821</v>
      </c>
      <c r="I36" s="10" t="n">
        <v>634250</v>
      </c>
      <c r="J36" s="10" t="n">
        <v>3370</v>
      </c>
      <c r="K36" s="10" t="s">
        <v>22</v>
      </c>
      <c r="L36" s="10"/>
      <c r="M36" s="11" t="s">
        <v>1740</v>
      </c>
      <c r="N36" s="24" t="n">
        <v>45883</v>
      </c>
      <c r="O36" s="25" t="n">
        <f aca="false">INT((N36-D36)/365.25)</f>
        <v>29</v>
      </c>
      <c r="P36" s="12" t="s">
        <v>22</v>
      </c>
    </row>
    <row r="37" customFormat="false" ht="15" hidden="false" customHeight="false" outlineLevel="0" collapsed="false">
      <c r="A37" s="51" t="n">
        <v>33</v>
      </c>
      <c r="B37" s="10" t="n">
        <v>874927</v>
      </c>
      <c r="C37" s="10" t="s">
        <v>1822</v>
      </c>
      <c r="D37" s="60" t="n">
        <v>30233</v>
      </c>
      <c r="E37" s="10" t="s">
        <v>1750</v>
      </c>
      <c r="F37" s="61" t="s">
        <v>1737</v>
      </c>
      <c r="G37" s="10" t="s">
        <v>1823</v>
      </c>
      <c r="H37" s="10" t="n">
        <v>2201532</v>
      </c>
      <c r="I37" s="10" t="n">
        <v>9457433</v>
      </c>
      <c r="J37" s="10" t="n">
        <v>2387</v>
      </c>
      <c r="K37" s="10" t="s">
        <v>22</v>
      </c>
      <c r="L37" s="10"/>
      <c r="M37" s="11" t="s">
        <v>1740</v>
      </c>
      <c r="N37" s="24" t="n">
        <v>45883</v>
      </c>
      <c r="O37" s="25" t="n">
        <f aca="false">INT((N37-D37)/365.25)</f>
        <v>42</v>
      </c>
      <c r="P37" s="12" t="s">
        <v>22</v>
      </c>
    </row>
    <row r="38" customFormat="false" ht="15" hidden="false" customHeight="false" outlineLevel="0" collapsed="false">
      <c r="A38" s="51" t="n">
        <v>34</v>
      </c>
      <c r="B38" s="10" t="n">
        <v>856294</v>
      </c>
      <c r="C38" s="10" t="s">
        <v>1824</v>
      </c>
      <c r="D38" s="60" t="n">
        <v>31551</v>
      </c>
      <c r="E38" s="10" t="s">
        <v>1750</v>
      </c>
      <c r="F38" s="61" t="s">
        <v>1737</v>
      </c>
      <c r="G38" s="10" t="s">
        <v>1825</v>
      </c>
      <c r="H38" s="10" t="s">
        <v>1826</v>
      </c>
      <c r="I38" s="10" t="n">
        <v>46515</v>
      </c>
      <c r="J38" s="10" t="n">
        <v>23</v>
      </c>
      <c r="K38" s="10" t="s">
        <v>22</v>
      </c>
      <c r="L38" s="10"/>
      <c r="M38" s="11" t="s">
        <v>1740</v>
      </c>
      <c r="N38" s="24" t="n">
        <v>45883</v>
      </c>
      <c r="O38" s="25" t="n">
        <f aca="false">INT((N38-D38)/365.25)</f>
        <v>39</v>
      </c>
      <c r="P38" s="12" t="s">
        <v>22</v>
      </c>
    </row>
    <row r="39" customFormat="false" ht="15" hidden="false" customHeight="false" outlineLevel="0" collapsed="false">
      <c r="A39" s="51" t="n">
        <v>35</v>
      </c>
      <c r="B39" s="10" t="n">
        <v>874929</v>
      </c>
      <c r="C39" s="10" t="s">
        <v>1827</v>
      </c>
      <c r="D39" s="60" t="n">
        <v>37565</v>
      </c>
      <c r="E39" s="10" t="s">
        <v>1754</v>
      </c>
      <c r="F39" s="61" t="s">
        <v>1737</v>
      </c>
      <c r="G39" s="10" t="s">
        <v>1828</v>
      </c>
      <c r="H39" s="10" t="n">
        <v>4549231</v>
      </c>
      <c r="I39" s="10" t="n">
        <v>6817803</v>
      </c>
      <c r="J39" s="10" t="n">
        <v>50</v>
      </c>
      <c r="K39" s="10" t="s">
        <v>22</v>
      </c>
      <c r="L39" s="10"/>
      <c r="M39" s="11" t="s">
        <v>1740</v>
      </c>
      <c r="N39" s="24" t="n">
        <v>45883</v>
      </c>
      <c r="O39" s="25" t="n">
        <f aca="false">INT((N39-D39)/365.25)</f>
        <v>22</v>
      </c>
      <c r="P39" s="12" t="s">
        <v>22</v>
      </c>
    </row>
    <row r="40" customFormat="false" ht="15" hidden="false" customHeight="false" outlineLevel="0" collapsed="false">
      <c r="A40" s="51" t="n">
        <v>36</v>
      </c>
      <c r="B40" s="10" t="n">
        <v>874936</v>
      </c>
      <c r="C40" s="10" t="s">
        <v>1829</v>
      </c>
      <c r="D40" s="60" t="n">
        <v>36193</v>
      </c>
      <c r="E40" s="10" t="s">
        <v>1750</v>
      </c>
      <c r="F40" s="61" t="s">
        <v>1737</v>
      </c>
      <c r="G40" s="10" t="s">
        <v>1830</v>
      </c>
      <c r="H40" s="10" t="n">
        <v>4355780</v>
      </c>
      <c r="I40" s="10" t="n">
        <v>831351</v>
      </c>
      <c r="J40" s="10" t="n">
        <v>7301</v>
      </c>
      <c r="K40" s="10" t="s">
        <v>22</v>
      </c>
      <c r="L40" s="10"/>
      <c r="M40" s="11" t="s">
        <v>1740</v>
      </c>
      <c r="N40" s="24" t="n">
        <v>45883</v>
      </c>
      <c r="O40" s="25" t="n">
        <f aca="false">INT((N40-D40)/365.25)</f>
        <v>26</v>
      </c>
      <c r="P40" s="12" t="s">
        <v>22</v>
      </c>
    </row>
    <row r="41" customFormat="false" ht="15" hidden="false" customHeight="false" outlineLevel="0" collapsed="false">
      <c r="A41" s="51" t="n">
        <v>37</v>
      </c>
      <c r="B41" s="10" t="n">
        <v>851974</v>
      </c>
      <c r="C41" s="10" t="s">
        <v>1831</v>
      </c>
      <c r="D41" s="60" t="n">
        <v>30228</v>
      </c>
      <c r="E41" s="10" t="s">
        <v>1736</v>
      </c>
      <c r="F41" s="61" t="s">
        <v>1737</v>
      </c>
      <c r="G41" s="10" t="s">
        <v>1832</v>
      </c>
      <c r="H41" s="10" t="n">
        <v>2388640</v>
      </c>
      <c r="I41" s="10" t="n">
        <v>149958</v>
      </c>
      <c r="J41" s="10" t="n">
        <v>2340</v>
      </c>
      <c r="K41" s="10" t="s">
        <v>22</v>
      </c>
      <c r="L41" s="10"/>
      <c r="M41" s="11" t="s">
        <v>1740</v>
      </c>
      <c r="N41" s="24" t="n">
        <v>45883</v>
      </c>
      <c r="O41" s="25" t="n">
        <f aca="false">INT((N41-D41)/365.25)</f>
        <v>42</v>
      </c>
      <c r="P41" s="12" t="s">
        <v>22</v>
      </c>
    </row>
    <row r="42" customFormat="false" ht="15" hidden="false" customHeight="false" outlineLevel="0" collapsed="false">
      <c r="A42" s="51" t="n">
        <v>38</v>
      </c>
      <c r="B42" s="10" t="n">
        <v>874931</v>
      </c>
      <c r="C42" s="10" t="s">
        <v>1833</v>
      </c>
      <c r="D42" s="60" t="n">
        <v>31657</v>
      </c>
      <c r="E42" s="10" t="s">
        <v>1750</v>
      </c>
      <c r="F42" s="61" t="s">
        <v>1737</v>
      </c>
      <c r="G42" s="10" t="s">
        <v>1834</v>
      </c>
      <c r="H42" s="10" t="s">
        <v>1835</v>
      </c>
      <c r="I42" s="10" t="n">
        <v>222463</v>
      </c>
      <c r="J42" s="10" t="n">
        <v>5389</v>
      </c>
      <c r="K42" s="10" t="s">
        <v>22</v>
      </c>
      <c r="L42" s="10"/>
      <c r="M42" s="11" t="s">
        <v>1740</v>
      </c>
      <c r="N42" s="24" t="n">
        <v>45883</v>
      </c>
      <c r="O42" s="25" t="n">
        <f aca="false">INT((N42-D42)/365.25)</f>
        <v>38</v>
      </c>
      <c r="P42" s="12" t="s">
        <v>22</v>
      </c>
    </row>
  </sheetData>
  <autoFilter ref="A3:Q42"/>
  <mergeCells count="1">
    <mergeCell ref="A1:P2"/>
  </mergeCells>
  <conditionalFormatting sqref="O5:O42">
    <cfRule type="colorScale" priority="2">
      <colorScale>
        <cfvo type="num" val="17"/>
        <cfvo type="num" val="18"/>
        <color rgb="FFFF0000"/>
        <color rgb="FF92D050"/>
      </colorScale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true"/>
  </sheetPr>
  <dimension ref="A1:P4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6" activeCellId="0" sqref="C6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6.86"/>
    <col collapsed="false" customWidth="true" hidden="false" outlineLevel="0" max="3" min="3" style="0" width="32.86"/>
    <col collapsed="false" customWidth="true" hidden="false" outlineLevel="0" max="4" min="4" style="0" width="9"/>
    <col collapsed="false" customWidth="true" hidden="false" outlineLevel="0" max="5" min="5" style="0" width="19.86"/>
    <col collapsed="false" customWidth="true" hidden="false" outlineLevel="0" max="6" min="6" style="0" width="6.43"/>
    <col collapsed="false" customWidth="true" hidden="false" outlineLevel="0" max="8" min="7" style="0" width="13"/>
    <col collapsed="false" customWidth="true" hidden="false" outlineLevel="0" max="9" min="9" style="0" width="7.72"/>
    <col collapsed="false" customWidth="true" hidden="false" outlineLevel="0" max="10" min="10" style="0" width="5"/>
    <col collapsed="false" customWidth="true" hidden="true" outlineLevel="0" max="11" min="11" style="0" width="7.43"/>
    <col collapsed="false" customWidth="true" hidden="true" outlineLevel="0" max="12" min="12" style="0" width="25.43"/>
    <col collapsed="false" customWidth="true" hidden="false" outlineLevel="0" max="13" min="13" style="0" width="20.14"/>
    <col collapsed="false" customWidth="true" hidden="false" outlineLevel="0" max="14" min="14" style="0" width="9.14"/>
    <col collapsed="false" customWidth="true" hidden="false" outlineLevel="0" max="15" min="15" style="0" width="5.71"/>
    <col collapsed="false" customWidth="true" hidden="false" outlineLevel="0" max="16" min="16" style="0" width="6.29"/>
    <col collapsed="false" customWidth="true" hidden="true" outlineLevel="0" max="17" min="17" style="0" width="10.43"/>
  </cols>
  <sheetData>
    <row r="1" customFormat="false" ht="15" hidden="false" customHeight="false" outlineLevel="0" collapsed="false">
      <c r="A1" s="18" t="s">
        <v>986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customFormat="false" ht="15" hidden="false" customHeight="false" outlineLevel="0" collapsed="false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customFormat="false" ht="15" hidden="false" customHeight="false" outlineLevel="0" collapsed="false">
      <c r="A3" s="43"/>
      <c r="B3" s="44" t="s">
        <v>1</v>
      </c>
      <c r="C3" s="44" t="s">
        <v>2</v>
      </c>
      <c r="D3" s="44" t="s">
        <v>3</v>
      </c>
      <c r="E3" s="44" t="s">
        <v>4</v>
      </c>
      <c r="F3" s="44" t="s">
        <v>5</v>
      </c>
      <c r="G3" s="45" t="s">
        <v>6</v>
      </c>
      <c r="H3" s="44" t="s">
        <v>7</v>
      </c>
      <c r="I3" s="44" t="s">
        <v>8</v>
      </c>
      <c r="J3" s="44" t="s">
        <v>9</v>
      </c>
      <c r="K3" s="44" t="s">
        <v>10</v>
      </c>
      <c r="L3" s="44" t="s">
        <v>1101</v>
      </c>
      <c r="M3" s="44" t="s">
        <v>11</v>
      </c>
      <c r="N3" s="44" t="s">
        <v>12</v>
      </c>
      <c r="O3" s="44" t="s">
        <v>13</v>
      </c>
      <c r="P3" s="44" t="s">
        <v>16</v>
      </c>
    </row>
    <row r="4" customFormat="false" ht="15" hidden="false" customHeight="false" outlineLevel="0" collapsed="false">
      <c r="A4" s="46"/>
      <c r="B4" s="47"/>
      <c r="C4" s="44" t="s">
        <v>1734</v>
      </c>
      <c r="D4" s="48"/>
      <c r="E4" s="47"/>
      <c r="F4" s="47"/>
      <c r="G4" s="47"/>
      <c r="H4" s="47"/>
      <c r="I4" s="47"/>
      <c r="J4" s="47"/>
      <c r="K4" s="47"/>
      <c r="L4" s="47"/>
      <c r="M4" s="49"/>
      <c r="N4" s="50"/>
      <c r="O4" s="44"/>
      <c r="P4" s="44"/>
    </row>
    <row r="5" customFormat="false" ht="15" hidden="false" customHeight="false" outlineLevel="0" collapsed="false">
      <c r="A5" s="51" t="n">
        <v>1</v>
      </c>
      <c r="B5" s="10" t="s">
        <v>535</v>
      </c>
      <c r="C5" s="10" t="s">
        <v>1735</v>
      </c>
      <c r="D5" s="60" t="n">
        <v>32005</v>
      </c>
      <c r="E5" s="10" t="s">
        <v>1736</v>
      </c>
      <c r="F5" s="61" t="s">
        <v>1737</v>
      </c>
      <c r="G5" s="10" t="s">
        <v>1738</v>
      </c>
      <c r="H5" s="10" t="s">
        <v>1739</v>
      </c>
      <c r="I5" s="10" t="n">
        <v>3913391</v>
      </c>
      <c r="J5" s="10" t="n">
        <v>9836</v>
      </c>
      <c r="K5" s="10" t="s">
        <v>22</v>
      </c>
      <c r="L5" s="10"/>
      <c r="M5" s="11" t="s">
        <v>1740</v>
      </c>
      <c r="N5" s="24" t="n">
        <v>45883</v>
      </c>
      <c r="O5" s="25" t="n">
        <f aca="false">INT((N5-D5)/365.25)</f>
        <v>37</v>
      </c>
      <c r="P5" s="12" t="s">
        <v>22</v>
      </c>
    </row>
    <row r="6" customFormat="false" ht="15" hidden="false" customHeight="false" outlineLevel="0" collapsed="false">
      <c r="A6" s="51" t="n">
        <v>2</v>
      </c>
      <c r="B6" s="10" t="n">
        <v>874877</v>
      </c>
      <c r="C6" s="59" t="s">
        <v>1741</v>
      </c>
      <c r="D6" s="60" t="n">
        <v>37775</v>
      </c>
      <c r="E6" s="10" t="s">
        <v>1736</v>
      </c>
      <c r="F6" s="61" t="s">
        <v>1737</v>
      </c>
      <c r="G6" s="10" t="s">
        <v>1742</v>
      </c>
      <c r="H6" s="10" t="n">
        <v>8274758</v>
      </c>
      <c r="I6" s="10" t="n">
        <v>1159258</v>
      </c>
      <c r="J6" s="10" t="n">
        <v>9375</v>
      </c>
      <c r="K6" s="10" t="s">
        <v>30</v>
      </c>
      <c r="L6" s="10"/>
      <c r="M6" s="11" t="s">
        <v>1740</v>
      </c>
      <c r="N6" s="24" t="n">
        <v>45883</v>
      </c>
      <c r="O6" s="25" t="n">
        <f aca="false">INT((N6-D6)/365.25)</f>
        <v>22</v>
      </c>
      <c r="P6" s="12" t="s">
        <v>22</v>
      </c>
    </row>
    <row r="7" customFormat="false" ht="15" hidden="false" customHeight="false" outlineLevel="0" collapsed="false">
      <c r="A7" s="51" t="n">
        <v>3</v>
      </c>
      <c r="B7" s="10" t="n">
        <v>874933</v>
      </c>
      <c r="C7" s="10" t="s">
        <v>1743</v>
      </c>
      <c r="D7" s="60" t="n">
        <v>34491</v>
      </c>
      <c r="E7" s="10" t="s">
        <v>1736</v>
      </c>
      <c r="F7" s="61" t="s">
        <v>1737</v>
      </c>
      <c r="G7" s="10" t="s">
        <v>1744</v>
      </c>
      <c r="H7" s="10" t="s">
        <v>1745</v>
      </c>
      <c r="I7" s="10" t="n">
        <v>1200545</v>
      </c>
      <c r="J7" s="10" t="n">
        <v>60</v>
      </c>
      <c r="K7" s="10" t="s">
        <v>1509</v>
      </c>
      <c r="L7" s="10"/>
      <c r="M7" s="11" t="s">
        <v>1740</v>
      </c>
      <c r="N7" s="24" t="n">
        <v>45883</v>
      </c>
      <c r="O7" s="25" t="n">
        <f aca="false">INT((N7-D7)/365.25)</f>
        <v>31</v>
      </c>
      <c r="P7" s="12" t="s">
        <v>22</v>
      </c>
    </row>
    <row r="8" customFormat="false" ht="15" hidden="false" customHeight="false" outlineLevel="0" collapsed="false">
      <c r="A8" s="51" t="n">
        <v>4</v>
      </c>
      <c r="B8" s="10" t="n">
        <v>874879</v>
      </c>
      <c r="C8" s="10" t="s">
        <v>1746</v>
      </c>
      <c r="D8" s="60" t="n">
        <v>35645</v>
      </c>
      <c r="E8" s="10" t="s">
        <v>1736</v>
      </c>
      <c r="F8" s="61" t="s">
        <v>1737</v>
      </c>
      <c r="G8" s="10" t="s">
        <v>1747</v>
      </c>
      <c r="H8" s="10" t="s">
        <v>1748</v>
      </c>
      <c r="I8" s="10" t="n">
        <v>669250</v>
      </c>
      <c r="J8" s="10" t="n">
        <v>1393</v>
      </c>
      <c r="K8" s="10" t="s">
        <v>22</v>
      </c>
      <c r="L8" s="10"/>
      <c r="M8" s="11" t="s">
        <v>1740</v>
      </c>
      <c r="N8" s="24" t="n">
        <v>45883</v>
      </c>
      <c r="O8" s="25" t="n">
        <f aca="false">INT((N8-D8)/365.25)</f>
        <v>28</v>
      </c>
      <c r="P8" s="12" t="s">
        <v>22</v>
      </c>
    </row>
    <row r="9" customFormat="false" ht="15" hidden="false" customHeight="false" outlineLevel="0" collapsed="false">
      <c r="A9" s="51" t="n">
        <v>5</v>
      </c>
      <c r="B9" s="10" t="n">
        <v>855809</v>
      </c>
      <c r="C9" s="10" t="s">
        <v>1749</v>
      </c>
      <c r="D9" s="60" t="n">
        <v>32672</v>
      </c>
      <c r="E9" s="10" t="s">
        <v>1836</v>
      </c>
      <c r="F9" s="61" t="s">
        <v>1737</v>
      </c>
      <c r="G9" s="10" t="s">
        <v>1751</v>
      </c>
      <c r="H9" s="10" t="s">
        <v>1752</v>
      </c>
      <c r="I9" s="10" t="n">
        <v>484682</v>
      </c>
      <c r="J9" s="10" t="n">
        <v>327</v>
      </c>
      <c r="K9" s="10" t="s">
        <v>22</v>
      </c>
      <c r="L9" s="10"/>
      <c r="M9" s="11" t="s">
        <v>1740</v>
      </c>
      <c r="N9" s="24" t="n">
        <v>45883</v>
      </c>
      <c r="O9" s="25" t="n">
        <f aca="false">INT((N9-D9)/365.25)</f>
        <v>36</v>
      </c>
      <c r="P9" s="12" t="s">
        <v>22</v>
      </c>
    </row>
    <row r="10" customFormat="false" ht="15" hidden="false" customHeight="false" outlineLevel="0" collapsed="false">
      <c r="A10" s="51" t="n">
        <v>6</v>
      </c>
      <c r="B10" s="10" t="n">
        <v>851888</v>
      </c>
      <c r="C10" s="10" t="s">
        <v>1753</v>
      </c>
      <c r="D10" s="60" t="n">
        <v>36561</v>
      </c>
      <c r="E10" s="10" t="s">
        <v>1754</v>
      </c>
      <c r="F10" s="61" t="s">
        <v>1737</v>
      </c>
      <c r="G10" s="10" t="s">
        <v>1755</v>
      </c>
      <c r="H10" s="10" t="n">
        <v>4067707</v>
      </c>
      <c r="I10" s="10" t="n">
        <v>6187043</v>
      </c>
      <c r="J10" s="10" t="n">
        <v>6342</v>
      </c>
      <c r="K10" s="10" t="s">
        <v>22</v>
      </c>
      <c r="L10" s="10"/>
      <c r="M10" s="11" t="s">
        <v>1740</v>
      </c>
      <c r="N10" s="24" t="n">
        <v>45883</v>
      </c>
      <c r="O10" s="25" t="n">
        <f aca="false">INT((N10-D10)/365.25)</f>
        <v>25</v>
      </c>
      <c r="P10" s="12" t="s">
        <v>22</v>
      </c>
    </row>
    <row r="11" customFormat="false" ht="15" hidden="false" customHeight="false" outlineLevel="0" collapsed="false">
      <c r="A11" s="51" t="n">
        <v>7</v>
      </c>
      <c r="B11" s="10" t="n">
        <v>874906</v>
      </c>
      <c r="C11" s="10" t="s">
        <v>1837</v>
      </c>
      <c r="D11" s="60" t="n">
        <v>39269</v>
      </c>
      <c r="E11" s="10" t="s">
        <v>1836</v>
      </c>
      <c r="F11" s="61" t="s">
        <v>1737</v>
      </c>
      <c r="G11" s="10" t="s">
        <v>1838</v>
      </c>
      <c r="H11" s="10" t="n">
        <v>4731650</v>
      </c>
      <c r="I11" s="10" t="n">
        <v>820453</v>
      </c>
      <c r="J11" s="10" t="n">
        <v>4396</v>
      </c>
      <c r="K11" s="10" t="s">
        <v>22</v>
      </c>
      <c r="L11" s="10"/>
      <c r="M11" s="11" t="s">
        <v>1740</v>
      </c>
      <c r="N11" s="24" t="n">
        <v>45883</v>
      </c>
      <c r="O11" s="25" t="n">
        <f aca="false">INT((N11-D11)/365.25)</f>
        <v>18</v>
      </c>
      <c r="P11" s="12" t="s">
        <v>22</v>
      </c>
    </row>
    <row r="12" customFormat="false" ht="15" hidden="false" customHeight="false" outlineLevel="0" collapsed="false">
      <c r="A12" s="51" t="n">
        <v>8</v>
      </c>
      <c r="B12" s="10" t="n">
        <v>856655</v>
      </c>
      <c r="C12" s="10" t="s">
        <v>1839</v>
      </c>
      <c r="D12" s="60" t="n">
        <v>37301</v>
      </c>
      <c r="E12" s="10" t="s">
        <v>1754</v>
      </c>
      <c r="F12" s="61" t="s">
        <v>1737</v>
      </c>
      <c r="G12" s="10" t="s">
        <v>1840</v>
      </c>
      <c r="H12" s="10" t="n">
        <v>8056952</v>
      </c>
      <c r="I12" s="10" t="n">
        <v>1076778</v>
      </c>
      <c r="J12" s="10" t="n">
        <v>388</v>
      </c>
      <c r="K12" s="10" t="s">
        <v>22</v>
      </c>
      <c r="L12" s="10"/>
      <c r="M12" s="11" t="s">
        <v>1740</v>
      </c>
      <c r="N12" s="24" t="n">
        <v>45883</v>
      </c>
      <c r="O12" s="25" t="n">
        <f aca="false">INT((N12-D12)/365.25)</f>
        <v>23</v>
      </c>
      <c r="P12" s="12" t="s">
        <v>22</v>
      </c>
    </row>
    <row r="13" customFormat="false" ht="15" hidden="false" customHeight="false" outlineLevel="0" collapsed="false">
      <c r="A13" s="51" t="n">
        <v>9</v>
      </c>
      <c r="B13" s="10" t="n">
        <v>843518</v>
      </c>
      <c r="C13" s="10" t="s">
        <v>1756</v>
      </c>
      <c r="D13" s="60" t="n">
        <v>32888</v>
      </c>
      <c r="E13" s="10" t="s">
        <v>1836</v>
      </c>
      <c r="F13" s="61" t="s">
        <v>1737</v>
      </c>
      <c r="G13" s="10" t="s">
        <v>1757</v>
      </c>
      <c r="H13" s="10" t="s">
        <v>1758</v>
      </c>
      <c r="I13" s="10" t="n">
        <v>459216</v>
      </c>
      <c r="J13" s="10" t="n">
        <v>2366</v>
      </c>
      <c r="K13" s="10" t="s">
        <v>1509</v>
      </c>
      <c r="L13" s="10"/>
      <c r="M13" s="11" t="s">
        <v>1740</v>
      </c>
      <c r="N13" s="24" t="n">
        <v>45883</v>
      </c>
      <c r="O13" s="25" t="n">
        <f aca="false">INT((N13-D13)/365.25)</f>
        <v>35</v>
      </c>
      <c r="P13" s="12" t="s">
        <v>22</v>
      </c>
    </row>
    <row r="14" customFormat="false" ht="15" hidden="false" customHeight="false" outlineLevel="0" collapsed="false">
      <c r="A14" s="51" t="n">
        <v>10</v>
      </c>
      <c r="B14" s="10" t="n">
        <v>874881</v>
      </c>
      <c r="C14" s="10" t="s">
        <v>1759</v>
      </c>
      <c r="D14" s="60" t="n">
        <v>36616</v>
      </c>
      <c r="E14" s="10" t="s">
        <v>1836</v>
      </c>
      <c r="F14" s="61" t="s">
        <v>1737</v>
      </c>
      <c r="G14" s="10" t="s">
        <v>1760</v>
      </c>
      <c r="H14" s="10" t="n">
        <v>4421937</v>
      </c>
      <c r="I14" s="10" t="n">
        <v>851371</v>
      </c>
      <c r="J14" s="10" t="n">
        <v>4324</v>
      </c>
      <c r="K14" s="10" t="s">
        <v>22</v>
      </c>
      <c r="L14" s="10"/>
      <c r="M14" s="11" t="s">
        <v>1740</v>
      </c>
      <c r="N14" s="24" t="n">
        <v>45883</v>
      </c>
      <c r="O14" s="25" t="n">
        <f aca="false">INT((N14-D14)/365.25)</f>
        <v>25</v>
      </c>
      <c r="P14" s="12" t="s">
        <v>22</v>
      </c>
    </row>
    <row r="15" customFormat="false" ht="15" hidden="false" customHeight="false" outlineLevel="0" collapsed="false">
      <c r="A15" s="51" t="n">
        <v>11</v>
      </c>
      <c r="B15" s="10" t="n">
        <v>874882</v>
      </c>
      <c r="C15" s="10" t="s">
        <v>1761</v>
      </c>
      <c r="D15" s="60" t="n">
        <v>34920</v>
      </c>
      <c r="E15" s="10" t="s">
        <v>1736</v>
      </c>
      <c r="F15" s="61" t="s">
        <v>1737</v>
      </c>
      <c r="G15" s="10" t="s">
        <v>1762</v>
      </c>
      <c r="H15" s="10" t="s">
        <v>1763</v>
      </c>
      <c r="I15" s="10" t="n">
        <v>633968</v>
      </c>
      <c r="J15" s="10" t="n">
        <v>4122</v>
      </c>
      <c r="K15" s="10" t="s">
        <v>22</v>
      </c>
      <c r="L15" s="10"/>
      <c r="M15" s="11" t="s">
        <v>1740</v>
      </c>
      <c r="N15" s="24" t="n">
        <v>45883</v>
      </c>
      <c r="O15" s="25" t="n">
        <f aca="false">INT((N15-D15)/365.25)</f>
        <v>30</v>
      </c>
      <c r="P15" s="12" t="s">
        <v>22</v>
      </c>
    </row>
    <row r="16" customFormat="false" ht="15" hidden="false" customHeight="false" outlineLevel="0" collapsed="false">
      <c r="A16" s="51" t="n">
        <v>12</v>
      </c>
      <c r="B16" s="10" t="n">
        <v>874883</v>
      </c>
      <c r="C16" s="10" t="s">
        <v>1764</v>
      </c>
      <c r="D16" s="60" t="n">
        <v>33392</v>
      </c>
      <c r="E16" s="10" t="s">
        <v>1754</v>
      </c>
      <c r="F16" s="61" t="s">
        <v>1737</v>
      </c>
      <c r="G16" s="10" t="s">
        <v>1765</v>
      </c>
      <c r="H16" s="10" t="n">
        <v>3289685</v>
      </c>
      <c r="I16" s="10" t="n">
        <v>4407041</v>
      </c>
      <c r="J16" s="10" t="n">
        <v>50</v>
      </c>
      <c r="K16" s="10" t="s">
        <v>22</v>
      </c>
      <c r="L16" s="10"/>
      <c r="M16" s="11" t="s">
        <v>1740</v>
      </c>
      <c r="N16" s="24" t="n">
        <v>45883</v>
      </c>
      <c r="O16" s="25" t="n">
        <f aca="false">INT((N16-D16)/365.25)</f>
        <v>34</v>
      </c>
      <c r="P16" s="12" t="s">
        <v>22</v>
      </c>
    </row>
    <row r="17" customFormat="false" ht="15" hidden="false" customHeight="false" outlineLevel="0" collapsed="false">
      <c r="A17" s="51" t="n">
        <v>13</v>
      </c>
      <c r="B17" s="10" t="n">
        <v>856276</v>
      </c>
      <c r="C17" s="10" t="s">
        <v>1766</v>
      </c>
      <c r="D17" s="60" t="n">
        <v>36440</v>
      </c>
      <c r="E17" s="10" t="s">
        <v>1736</v>
      </c>
      <c r="F17" s="61" t="s">
        <v>1737</v>
      </c>
      <c r="G17" s="10" t="s">
        <v>1767</v>
      </c>
      <c r="H17" s="10" t="n">
        <v>4067708</v>
      </c>
      <c r="I17" s="10" t="n">
        <v>7806763</v>
      </c>
      <c r="J17" s="10" t="n">
        <v>50</v>
      </c>
      <c r="K17" s="10" t="s">
        <v>22</v>
      </c>
      <c r="L17" s="10"/>
      <c r="M17" s="11" t="s">
        <v>1740</v>
      </c>
      <c r="N17" s="24" t="n">
        <v>45883</v>
      </c>
      <c r="O17" s="25" t="n">
        <f aca="false">INT((N17-D17)/365.25)</f>
        <v>25</v>
      </c>
      <c r="P17" s="12" t="s">
        <v>22</v>
      </c>
    </row>
    <row r="18" customFormat="false" ht="15" hidden="false" customHeight="false" outlineLevel="0" collapsed="false">
      <c r="A18" s="51" t="n">
        <v>14</v>
      </c>
      <c r="B18" s="10" t="n">
        <v>874937</v>
      </c>
      <c r="C18" s="10" t="s">
        <v>1768</v>
      </c>
      <c r="D18" s="60" t="n">
        <v>38504</v>
      </c>
      <c r="E18" s="10" t="s">
        <v>1750</v>
      </c>
      <c r="F18" s="61" t="s">
        <v>1737</v>
      </c>
      <c r="G18" s="10" t="s">
        <v>1769</v>
      </c>
      <c r="H18" s="10" t="n">
        <v>8004084</v>
      </c>
      <c r="I18" s="10" t="n">
        <v>976847</v>
      </c>
      <c r="J18" s="10" t="n">
        <v>2308</v>
      </c>
      <c r="K18" s="10" t="s">
        <v>22</v>
      </c>
      <c r="L18" s="10"/>
      <c r="M18" s="11" t="s">
        <v>1740</v>
      </c>
      <c r="N18" s="24" t="n">
        <v>45883</v>
      </c>
      <c r="O18" s="25" t="n">
        <f aca="false">INT((N18-D18)/365.25)</f>
        <v>20</v>
      </c>
      <c r="P18" s="12" t="s">
        <v>22</v>
      </c>
    </row>
    <row r="19" customFormat="false" ht="15" hidden="false" customHeight="false" outlineLevel="0" collapsed="false">
      <c r="A19" s="51" t="n">
        <v>15</v>
      </c>
      <c r="B19" s="10" t="n">
        <v>853760</v>
      </c>
      <c r="C19" s="10" t="s">
        <v>1770</v>
      </c>
      <c r="D19" s="60" t="n">
        <v>35416</v>
      </c>
      <c r="E19" s="10" t="s">
        <v>1754</v>
      </c>
      <c r="F19" s="61" t="s">
        <v>1737</v>
      </c>
      <c r="G19" s="10" t="s">
        <v>1771</v>
      </c>
      <c r="H19" s="10" t="s">
        <v>1772</v>
      </c>
      <c r="I19" s="10" t="n">
        <v>48116</v>
      </c>
      <c r="J19" s="10" t="n">
        <v>19</v>
      </c>
      <c r="K19" s="10" t="s">
        <v>22</v>
      </c>
      <c r="L19" s="10"/>
      <c r="M19" s="11" t="s">
        <v>1740</v>
      </c>
      <c r="N19" s="24" t="n">
        <v>45883</v>
      </c>
      <c r="O19" s="25" t="n">
        <f aca="false">INT((N19-D19)/365.25)</f>
        <v>28</v>
      </c>
      <c r="P19" s="12" t="s">
        <v>22</v>
      </c>
    </row>
    <row r="20" customFormat="false" ht="15" hidden="false" customHeight="false" outlineLevel="0" collapsed="false">
      <c r="A20" s="51" t="n">
        <v>16</v>
      </c>
      <c r="B20" s="10" t="n">
        <v>852542</v>
      </c>
      <c r="C20" s="10" t="s">
        <v>1773</v>
      </c>
      <c r="D20" s="60" t="n">
        <v>31802</v>
      </c>
      <c r="E20" s="10" t="s">
        <v>1754</v>
      </c>
      <c r="F20" s="61" t="s">
        <v>1737</v>
      </c>
      <c r="G20" s="10" t="s">
        <v>1774</v>
      </c>
      <c r="H20" s="10" t="n">
        <v>321464</v>
      </c>
      <c r="I20" s="10" t="n">
        <v>4351</v>
      </c>
      <c r="J20" s="10" t="n">
        <v>26</v>
      </c>
      <c r="K20" s="10" t="s">
        <v>30</v>
      </c>
      <c r="L20" s="10"/>
      <c r="M20" s="11" t="s">
        <v>1740</v>
      </c>
      <c r="N20" s="24" t="n">
        <v>45883</v>
      </c>
      <c r="O20" s="25" t="n">
        <f aca="false">INT((N20-D20)/365.25)</f>
        <v>38</v>
      </c>
      <c r="P20" s="12" t="s">
        <v>22</v>
      </c>
    </row>
    <row r="21" customFormat="false" ht="15" hidden="false" customHeight="false" outlineLevel="0" collapsed="false">
      <c r="A21" s="51" t="n">
        <v>17</v>
      </c>
      <c r="B21" s="10" t="n">
        <v>851933</v>
      </c>
      <c r="C21" s="10" t="s">
        <v>1841</v>
      </c>
      <c r="D21" s="60" t="n">
        <v>29629</v>
      </c>
      <c r="E21" s="10" t="s">
        <v>1836</v>
      </c>
      <c r="F21" s="61" t="s">
        <v>1737</v>
      </c>
      <c r="G21" s="10" t="s">
        <v>1776</v>
      </c>
      <c r="H21" s="10" t="s">
        <v>1777</v>
      </c>
      <c r="I21" s="10" t="n">
        <v>40327</v>
      </c>
      <c r="J21" s="10" t="n">
        <v>6390</v>
      </c>
      <c r="K21" s="10" t="s">
        <v>30</v>
      </c>
      <c r="L21" s="10"/>
      <c r="M21" s="11" t="s">
        <v>1740</v>
      </c>
      <c r="N21" s="24" t="n">
        <v>45883</v>
      </c>
      <c r="O21" s="25" t="n">
        <f aca="false">INT((N21-D21)/365.25)</f>
        <v>44</v>
      </c>
      <c r="P21" s="12" t="s">
        <v>22</v>
      </c>
    </row>
    <row r="22" customFormat="false" ht="15" hidden="false" customHeight="false" outlineLevel="0" collapsed="false">
      <c r="A22" s="51" t="n">
        <v>18</v>
      </c>
      <c r="B22" s="10" t="n">
        <v>856277</v>
      </c>
      <c r="C22" s="10" t="s">
        <v>1778</v>
      </c>
      <c r="D22" s="60" t="n">
        <v>38041</v>
      </c>
      <c r="E22" s="10" t="s">
        <v>1736</v>
      </c>
      <c r="F22" s="61" t="s">
        <v>1737</v>
      </c>
      <c r="G22" s="10" t="s">
        <v>1779</v>
      </c>
      <c r="H22" s="10" t="s">
        <v>1780</v>
      </c>
      <c r="I22" s="10" t="n">
        <v>995737</v>
      </c>
      <c r="J22" s="10" t="n">
        <v>1347</v>
      </c>
      <c r="K22" s="10" t="s">
        <v>22</v>
      </c>
      <c r="L22" s="10"/>
      <c r="M22" s="11" t="s">
        <v>1740</v>
      </c>
      <c r="N22" s="24" t="n">
        <v>45883</v>
      </c>
      <c r="O22" s="25" t="n">
        <f aca="false">INT((N22-D22)/365.25)</f>
        <v>21</v>
      </c>
      <c r="P22" s="12" t="s">
        <v>22</v>
      </c>
    </row>
    <row r="23" customFormat="false" ht="15" hidden="false" customHeight="false" outlineLevel="0" collapsed="false">
      <c r="A23" s="51" t="n">
        <v>19</v>
      </c>
      <c r="B23" s="10" t="n">
        <v>874911</v>
      </c>
      <c r="C23" s="10" t="s">
        <v>1781</v>
      </c>
      <c r="D23" s="60" t="n">
        <v>38253</v>
      </c>
      <c r="E23" s="10" t="s">
        <v>1836</v>
      </c>
      <c r="F23" s="61" t="s">
        <v>1737</v>
      </c>
      <c r="G23" s="10" t="s">
        <v>1782</v>
      </c>
      <c r="H23" s="10" t="s">
        <v>1783</v>
      </c>
      <c r="I23" s="10" t="n">
        <v>1047906</v>
      </c>
      <c r="J23" s="10" t="n">
        <v>3338</v>
      </c>
      <c r="K23" s="10" t="s">
        <v>22</v>
      </c>
      <c r="L23" s="10"/>
      <c r="M23" s="11" t="s">
        <v>1740</v>
      </c>
      <c r="N23" s="24" t="n">
        <v>45883</v>
      </c>
      <c r="O23" s="25" t="n">
        <f aca="false">INT((N23-D23)/365.25)</f>
        <v>20</v>
      </c>
      <c r="P23" s="12" t="s">
        <v>22</v>
      </c>
    </row>
    <row r="24" customFormat="false" ht="15" hidden="false" customHeight="false" outlineLevel="0" collapsed="false">
      <c r="A24" s="51" t="n">
        <v>20</v>
      </c>
      <c r="B24" s="10" t="n">
        <v>874885</v>
      </c>
      <c r="C24" s="10" t="s">
        <v>1784</v>
      </c>
      <c r="D24" s="60" t="n">
        <v>37397</v>
      </c>
      <c r="E24" s="10" t="s">
        <v>1736</v>
      </c>
      <c r="F24" s="61" t="s">
        <v>1737</v>
      </c>
      <c r="G24" s="10" t="s">
        <v>1785</v>
      </c>
      <c r="H24" s="10" t="s">
        <v>1786</v>
      </c>
      <c r="I24" s="10" t="n">
        <v>1016116</v>
      </c>
      <c r="J24" s="10" t="n">
        <v>6326</v>
      </c>
      <c r="K24" s="10" t="s">
        <v>22</v>
      </c>
      <c r="L24" s="10"/>
      <c r="M24" s="11" t="s">
        <v>1740</v>
      </c>
      <c r="N24" s="24" t="n">
        <v>45883</v>
      </c>
      <c r="O24" s="25" t="n">
        <f aca="false">INT((N24-D24)/365.25)</f>
        <v>23</v>
      </c>
      <c r="P24" s="12" t="s">
        <v>22</v>
      </c>
    </row>
    <row r="25" customFormat="false" ht="15" hidden="false" customHeight="false" outlineLevel="0" collapsed="false">
      <c r="A25" s="51" t="n">
        <v>21</v>
      </c>
      <c r="B25" s="10" t="n">
        <v>851935</v>
      </c>
      <c r="C25" s="10" t="s">
        <v>1787</v>
      </c>
      <c r="D25" s="60" t="n">
        <v>38462</v>
      </c>
      <c r="E25" s="10" t="s">
        <v>1836</v>
      </c>
      <c r="F25" s="61" t="s">
        <v>1737</v>
      </c>
      <c r="G25" s="10" t="s">
        <v>1788</v>
      </c>
      <c r="H25" s="10" t="s">
        <v>1789</v>
      </c>
      <c r="I25" s="10" t="n">
        <v>826492</v>
      </c>
      <c r="J25" s="10" t="n">
        <v>4360</v>
      </c>
      <c r="K25" s="10" t="s">
        <v>30</v>
      </c>
      <c r="L25" s="10"/>
      <c r="M25" s="11" t="s">
        <v>1740</v>
      </c>
      <c r="N25" s="24" t="n">
        <v>45883</v>
      </c>
      <c r="O25" s="25" t="n">
        <f aca="false">INT((N25-D25)/365.25)</f>
        <v>20</v>
      </c>
      <c r="P25" s="12" t="s">
        <v>22</v>
      </c>
    </row>
    <row r="26" customFormat="false" ht="15" hidden="false" customHeight="false" outlineLevel="0" collapsed="false">
      <c r="A26" s="51" t="n">
        <v>22</v>
      </c>
      <c r="B26" s="10" t="n">
        <v>874886</v>
      </c>
      <c r="C26" s="10" t="s">
        <v>1842</v>
      </c>
      <c r="D26" s="60" t="n">
        <v>32237</v>
      </c>
      <c r="E26" s="10" t="s">
        <v>1736</v>
      </c>
      <c r="F26" s="61" t="s">
        <v>1737</v>
      </c>
      <c r="G26" s="10" t="s">
        <v>1843</v>
      </c>
      <c r="H26" s="10" t="s">
        <v>1844</v>
      </c>
      <c r="I26" s="10" t="n">
        <v>4045137</v>
      </c>
      <c r="J26" s="10" t="n">
        <v>848</v>
      </c>
      <c r="K26" s="10" t="s">
        <v>22</v>
      </c>
      <c r="L26" s="10"/>
      <c r="M26" s="11" t="s">
        <v>1740</v>
      </c>
      <c r="N26" s="24" t="n">
        <v>45883</v>
      </c>
      <c r="O26" s="25" t="n">
        <f aca="false">INT((N26-D26)/365.25)</f>
        <v>37</v>
      </c>
      <c r="P26" s="12" t="s">
        <v>22</v>
      </c>
    </row>
    <row r="27" customFormat="false" ht="15" hidden="false" customHeight="false" outlineLevel="0" collapsed="false">
      <c r="A27" s="51" t="n">
        <v>23</v>
      </c>
      <c r="B27" s="10" t="n">
        <v>874913</v>
      </c>
      <c r="C27" s="10" t="s">
        <v>1790</v>
      </c>
      <c r="D27" s="60" t="n">
        <v>37773</v>
      </c>
      <c r="E27" s="10" t="s">
        <v>1736</v>
      </c>
      <c r="F27" s="61" t="s">
        <v>1737</v>
      </c>
      <c r="G27" s="10" t="s">
        <v>1791</v>
      </c>
      <c r="H27" s="10" t="s">
        <v>1792</v>
      </c>
      <c r="I27" s="10" t="n">
        <v>936990</v>
      </c>
      <c r="J27" s="10" t="n">
        <v>6355</v>
      </c>
      <c r="K27" s="10" t="s">
        <v>22</v>
      </c>
      <c r="L27" s="10"/>
      <c r="M27" s="11" t="s">
        <v>1740</v>
      </c>
      <c r="N27" s="24" t="n">
        <v>45883</v>
      </c>
      <c r="O27" s="25" t="n">
        <f aca="false">INT((N27-D27)/365.25)</f>
        <v>22</v>
      </c>
      <c r="P27" s="12" t="s">
        <v>22</v>
      </c>
    </row>
    <row r="28" customFormat="false" ht="15" hidden="false" customHeight="false" outlineLevel="0" collapsed="false">
      <c r="A28" s="51" t="n">
        <v>24</v>
      </c>
      <c r="B28" s="10" t="n">
        <v>874887</v>
      </c>
      <c r="C28" s="10" t="s">
        <v>1793</v>
      </c>
      <c r="D28" s="60" t="n">
        <v>33639</v>
      </c>
      <c r="E28" s="10" t="s">
        <v>1754</v>
      </c>
      <c r="F28" s="61" t="s">
        <v>1737</v>
      </c>
      <c r="G28" s="10" t="s">
        <v>1794</v>
      </c>
      <c r="H28" s="10" t="s">
        <v>1795</v>
      </c>
      <c r="I28" s="10" t="n">
        <v>500177</v>
      </c>
      <c r="J28" s="10" t="n">
        <v>1390</v>
      </c>
      <c r="K28" s="10" t="s">
        <v>22</v>
      </c>
      <c r="L28" s="10"/>
      <c r="M28" s="11" t="s">
        <v>1740</v>
      </c>
      <c r="N28" s="24" t="n">
        <v>45883</v>
      </c>
      <c r="O28" s="25" t="n">
        <f aca="false">INT((N28-D28)/365.25)</f>
        <v>33</v>
      </c>
      <c r="P28" s="12" t="s">
        <v>22</v>
      </c>
    </row>
    <row r="29" customFormat="false" ht="15" hidden="false" customHeight="false" outlineLevel="0" collapsed="false">
      <c r="A29" s="51" t="n">
        <v>25</v>
      </c>
      <c r="B29" s="10" t="n">
        <v>874889</v>
      </c>
      <c r="C29" s="10" t="s">
        <v>1796</v>
      </c>
      <c r="D29" s="60" t="n">
        <v>37041</v>
      </c>
      <c r="E29" s="10" t="s">
        <v>1754</v>
      </c>
      <c r="F29" s="61" t="s">
        <v>1737</v>
      </c>
      <c r="G29" s="10" t="s">
        <v>1797</v>
      </c>
      <c r="H29" s="10" t="s">
        <v>1798</v>
      </c>
      <c r="I29" s="10" t="n">
        <v>6360485</v>
      </c>
      <c r="J29" s="10" t="n">
        <v>5322</v>
      </c>
      <c r="K29" s="10" t="s">
        <v>22</v>
      </c>
      <c r="L29" s="10"/>
      <c r="M29" s="11" t="s">
        <v>1740</v>
      </c>
      <c r="N29" s="24" t="n">
        <v>45883</v>
      </c>
      <c r="O29" s="25" t="n">
        <f aca="false">INT((N29-D29)/365.25)</f>
        <v>24</v>
      </c>
      <c r="P29" s="12" t="s">
        <v>22</v>
      </c>
    </row>
    <row r="30" customFormat="false" ht="15" hidden="false" customHeight="false" outlineLevel="0" collapsed="false">
      <c r="A30" s="51" t="n">
        <v>26</v>
      </c>
      <c r="B30" s="10" t="n">
        <v>874891</v>
      </c>
      <c r="C30" s="10" t="s">
        <v>1799</v>
      </c>
      <c r="D30" s="60" t="n">
        <v>38360</v>
      </c>
      <c r="E30" s="10" t="s">
        <v>1836</v>
      </c>
      <c r="F30" s="61" t="s">
        <v>1737</v>
      </c>
      <c r="G30" s="10" t="s">
        <v>1800</v>
      </c>
      <c r="H30" s="10" t="n">
        <v>4551278</v>
      </c>
      <c r="I30" s="10" t="n">
        <v>879772</v>
      </c>
      <c r="J30" s="10" t="n">
        <v>6389</v>
      </c>
      <c r="K30" s="10" t="s">
        <v>30</v>
      </c>
      <c r="L30" s="10"/>
      <c r="M30" s="11" t="s">
        <v>1740</v>
      </c>
      <c r="N30" s="24" t="n">
        <v>45883</v>
      </c>
      <c r="O30" s="25" t="n">
        <f aca="false">INT((N30-D30)/365.25)</f>
        <v>20</v>
      </c>
      <c r="P30" s="12" t="s">
        <v>22</v>
      </c>
    </row>
    <row r="31" customFormat="false" ht="15" hidden="false" customHeight="false" outlineLevel="0" collapsed="false">
      <c r="A31" s="51" t="n">
        <v>27</v>
      </c>
      <c r="B31" s="10" t="n">
        <v>874890</v>
      </c>
      <c r="C31" s="10" t="s">
        <v>1801</v>
      </c>
      <c r="D31" s="60" t="n">
        <v>38959</v>
      </c>
      <c r="E31" s="10" t="s">
        <v>1836</v>
      </c>
      <c r="F31" s="61" t="s">
        <v>1737</v>
      </c>
      <c r="G31" s="10" t="s">
        <v>1802</v>
      </c>
      <c r="H31" s="10" t="s">
        <v>1803</v>
      </c>
      <c r="I31" s="10" t="n">
        <v>873960</v>
      </c>
      <c r="J31" s="10" t="n">
        <v>5302</v>
      </c>
      <c r="K31" s="10" t="s">
        <v>22</v>
      </c>
      <c r="L31" s="10"/>
      <c r="M31" s="11" t="s">
        <v>1740</v>
      </c>
      <c r="N31" s="24" t="n">
        <v>45883</v>
      </c>
      <c r="O31" s="25" t="n">
        <f aca="false">INT((N31-D31)/365.25)</f>
        <v>18</v>
      </c>
      <c r="P31" s="12" t="s">
        <v>22</v>
      </c>
    </row>
    <row r="32" customFormat="false" ht="15" hidden="false" customHeight="false" outlineLevel="0" collapsed="false">
      <c r="A32" s="51" t="n">
        <v>28</v>
      </c>
      <c r="B32" s="10" t="n">
        <v>874892</v>
      </c>
      <c r="C32" s="10" t="s">
        <v>1804</v>
      </c>
      <c r="D32" s="60" t="n">
        <v>37869</v>
      </c>
      <c r="E32" s="10" t="s">
        <v>1736</v>
      </c>
      <c r="F32" s="61" t="s">
        <v>1737</v>
      </c>
      <c r="G32" s="10" t="s">
        <v>1805</v>
      </c>
      <c r="H32" s="10" t="s">
        <v>1806</v>
      </c>
      <c r="I32" s="10" t="n">
        <v>1084502</v>
      </c>
      <c r="J32" s="10" t="n">
        <v>9339</v>
      </c>
      <c r="K32" s="10" t="s">
        <v>22</v>
      </c>
      <c r="L32" s="10"/>
      <c r="M32" s="11" t="s">
        <v>1740</v>
      </c>
      <c r="N32" s="24" t="n">
        <v>45883</v>
      </c>
      <c r="O32" s="25" t="n">
        <f aca="false">INT((N32-D32)/365.25)</f>
        <v>21</v>
      </c>
      <c r="P32" s="12" t="s">
        <v>22</v>
      </c>
    </row>
    <row r="33" customFormat="false" ht="15" hidden="false" customHeight="false" outlineLevel="0" collapsed="false">
      <c r="A33" s="51" t="n">
        <v>29</v>
      </c>
      <c r="B33" s="52" t="n">
        <v>851879</v>
      </c>
      <c r="C33" s="52" t="s">
        <v>1807</v>
      </c>
      <c r="D33" s="60" t="n">
        <v>30316</v>
      </c>
      <c r="E33" s="10" t="s">
        <v>1736</v>
      </c>
      <c r="F33" s="61" t="s">
        <v>1737</v>
      </c>
      <c r="G33" s="10" t="s">
        <v>1808</v>
      </c>
      <c r="H33" s="10" t="s">
        <v>1808</v>
      </c>
      <c r="I33" s="10" t="n">
        <v>106809</v>
      </c>
      <c r="J33" s="10" t="n">
        <v>3340</v>
      </c>
      <c r="K33" s="10" t="s">
        <v>22</v>
      </c>
      <c r="L33" s="10"/>
      <c r="M33" s="11" t="s">
        <v>1740</v>
      </c>
      <c r="N33" s="24" t="n">
        <v>45883</v>
      </c>
      <c r="O33" s="25" t="n">
        <f aca="false">INT((N33-D33)/365.25)</f>
        <v>42</v>
      </c>
      <c r="P33" s="12" t="s">
        <v>22</v>
      </c>
    </row>
    <row r="34" customFormat="false" ht="15" hidden="false" customHeight="false" outlineLevel="0" collapsed="false">
      <c r="A34" s="51" t="n">
        <v>30</v>
      </c>
      <c r="B34" s="10" t="n">
        <v>860736</v>
      </c>
      <c r="C34" s="10" t="s">
        <v>1809</v>
      </c>
      <c r="D34" s="60" t="n">
        <v>37514</v>
      </c>
      <c r="E34" s="10" t="s">
        <v>1836</v>
      </c>
      <c r="F34" s="61" t="s">
        <v>1737</v>
      </c>
      <c r="G34" s="10" t="s">
        <v>1810</v>
      </c>
      <c r="H34" s="10" t="n">
        <v>4379760</v>
      </c>
      <c r="I34" s="10" t="n">
        <v>827547</v>
      </c>
      <c r="J34" s="10" t="n">
        <v>1370</v>
      </c>
      <c r="K34" s="10" t="s">
        <v>30</v>
      </c>
      <c r="L34" s="10"/>
      <c r="M34" s="11" t="s">
        <v>1740</v>
      </c>
      <c r="N34" s="24" t="n">
        <v>45883</v>
      </c>
      <c r="O34" s="25" t="n">
        <f aca="false">INT((N34-D34)/365.25)</f>
        <v>22</v>
      </c>
      <c r="P34" s="12" t="s">
        <v>22</v>
      </c>
    </row>
    <row r="35" customFormat="false" ht="15" hidden="false" customHeight="false" outlineLevel="0" collapsed="false">
      <c r="A35" s="51" t="n">
        <v>31</v>
      </c>
      <c r="B35" s="10" t="n">
        <v>848507</v>
      </c>
      <c r="C35" s="10" t="s">
        <v>1811</v>
      </c>
      <c r="D35" s="60" t="n">
        <v>36259</v>
      </c>
      <c r="E35" s="10" t="s">
        <v>1754</v>
      </c>
      <c r="F35" s="61" t="s">
        <v>1737</v>
      </c>
      <c r="G35" s="10" t="s">
        <v>1812</v>
      </c>
      <c r="H35" s="10" t="n">
        <v>4392884</v>
      </c>
      <c r="I35" s="10" t="n">
        <v>34484</v>
      </c>
      <c r="J35" s="10" t="n">
        <v>424</v>
      </c>
      <c r="K35" s="10" t="s">
        <v>22</v>
      </c>
      <c r="L35" s="10"/>
      <c r="M35" s="11" t="s">
        <v>1740</v>
      </c>
      <c r="N35" s="24" t="n">
        <v>45883</v>
      </c>
      <c r="O35" s="25" t="n">
        <f aca="false">INT((N35-D35)/365.25)</f>
        <v>26</v>
      </c>
      <c r="P35" s="12" t="s">
        <v>22</v>
      </c>
    </row>
    <row r="36" customFormat="false" ht="15" hidden="false" customHeight="false" outlineLevel="0" collapsed="false">
      <c r="A36" s="51" t="n">
        <v>32</v>
      </c>
      <c r="B36" s="10" t="n">
        <v>856283</v>
      </c>
      <c r="C36" s="10" t="s">
        <v>1813</v>
      </c>
      <c r="D36" s="60" t="n">
        <v>35432</v>
      </c>
      <c r="E36" s="10" t="s">
        <v>1836</v>
      </c>
      <c r="F36" s="61" t="s">
        <v>1737</v>
      </c>
      <c r="G36" s="10" t="s">
        <v>1814</v>
      </c>
      <c r="H36" s="10" t="n">
        <v>4448780</v>
      </c>
      <c r="I36" s="10" t="n">
        <v>840899</v>
      </c>
      <c r="J36" s="10" t="n">
        <v>330</v>
      </c>
      <c r="K36" s="10" t="s">
        <v>22</v>
      </c>
      <c r="L36" s="10"/>
      <c r="M36" s="11" t="s">
        <v>1740</v>
      </c>
      <c r="N36" s="24" t="n">
        <v>45883</v>
      </c>
      <c r="O36" s="25" t="n">
        <f aca="false">INT((N36-D36)/365.25)</f>
        <v>28</v>
      </c>
      <c r="P36" s="12" t="s">
        <v>22</v>
      </c>
    </row>
    <row r="37" customFormat="false" ht="15" hidden="false" customHeight="false" outlineLevel="0" collapsed="false">
      <c r="A37" s="51" t="n">
        <v>33</v>
      </c>
      <c r="B37" s="10" t="n">
        <v>874922</v>
      </c>
      <c r="C37" s="10" t="s">
        <v>1815</v>
      </c>
      <c r="D37" s="60" t="n">
        <v>37491</v>
      </c>
      <c r="E37" s="10" t="s">
        <v>1754</v>
      </c>
      <c r="F37" s="61" t="s">
        <v>1737</v>
      </c>
      <c r="G37" s="10" t="s">
        <v>1816</v>
      </c>
      <c r="H37" s="10" t="n">
        <v>8291989</v>
      </c>
      <c r="I37" s="10" t="n">
        <v>907034</v>
      </c>
      <c r="J37" s="10" t="n">
        <v>3304</v>
      </c>
      <c r="K37" s="10" t="s">
        <v>1509</v>
      </c>
      <c r="L37" s="10"/>
      <c r="M37" s="11" t="s">
        <v>1740</v>
      </c>
      <c r="N37" s="24" t="n">
        <v>45883</v>
      </c>
      <c r="O37" s="25" t="n">
        <f aca="false">INT((N37-D37)/365.25)</f>
        <v>22</v>
      </c>
      <c r="P37" s="12" t="s">
        <v>22</v>
      </c>
    </row>
    <row r="38" customFormat="false" ht="15" hidden="false" customHeight="false" outlineLevel="0" collapsed="false">
      <c r="A38" s="51" t="n">
        <v>34</v>
      </c>
      <c r="B38" s="10" t="n">
        <v>874923</v>
      </c>
      <c r="C38" s="59" t="s">
        <v>1817</v>
      </c>
      <c r="D38" s="60" t="n">
        <v>33342</v>
      </c>
      <c r="E38" s="10" t="s">
        <v>1736</v>
      </c>
      <c r="F38" s="61" t="s">
        <v>1737</v>
      </c>
      <c r="G38" s="10" t="s">
        <v>1818</v>
      </c>
      <c r="H38" s="10" t="n">
        <v>3244762</v>
      </c>
      <c r="I38" s="10" t="n">
        <v>506118</v>
      </c>
      <c r="J38" s="10" t="n">
        <v>1344</v>
      </c>
      <c r="K38" s="10" t="s">
        <v>22</v>
      </c>
      <c r="L38" s="10"/>
      <c r="M38" s="11" t="s">
        <v>1740</v>
      </c>
      <c r="N38" s="24" t="n">
        <v>45883</v>
      </c>
      <c r="O38" s="25" t="n">
        <f aca="false">INT((N38-D38)/365.25)</f>
        <v>34</v>
      </c>
      <c r="P38" s="12" t="s">
        <v>22</v>
      </c>
    </row>
    <row r="39" customFormat="false" ht="15" hidden="false" customHeight="false" outlineLevel="0" collapsed="false">
      <c r="A39" s="51" t="n">
        <v>35</v>
      </c>
      <c r="B39" s="10" t="n">
        <v>874925</v>
      </c>
      <c r="C39" s="10" t="s">
        <v>1819</v>
      </c>
      <c r="D39" s="60" t="n">
        <v>35151</v>
      </c>
      <c r="E39" s="10" t="s">
        <v>1836</v>
      </c>
      <c r="F39" s="61" t="s">
        <v>1737</v>
      </c>
      <c r="G39" s="10" t="s">
        <v>1820</v>
      </c>
      <c r="H39" s="10" t="s">
        <v>1821</v>
      </c>
      <c r="I39" s="10" t="n">
        <v>634250</v>
      </c>
      <c r="J39" s="10" t="n">
        <v>3370</v>
      </c>
      <c r="K39" s="10" t="s">
        <v>30</v>
      </c>
      <c r="L39" s="10"/>
      <c r="M39" s="11" t="s">
        <v>1740</v>
      </c>
      <c r="N39" s="24" t="n">
        <v>45883</v>
      </c>
      <c r="O39" s="25" t="n">
        <f aca="false">INT((N39-D39)/365.25)</f>
        <v>29</v>
      </c>
      <c r="P39" s="12" t="s">
        <v>22</v>
      </c>
    </row>
    <row r="40" customFormat="false" ht="15" hidden="false" customHeight="false" outlineLevel="0" collapsed="false">
      <c r="A40" s="51" t="n">
        <v>36</v>
      </c>
      <c r="B40" s="10" t="n">
        <v>874927</v>
      </c>
      <c r="C40" s="10" t="s">
        <v>1822</v>
      </c>
      <c r="D40" s="60" t="n">
        <v>30233</v>
      </c>
      <c r="E40" s="10" t="s">
        <v>1836</v>
      </c>
      <c r="F40" s="61" t="s">
        <v>1737</v>
      </c>
      <c r="G40" s="10" t="s">
        <v>1823</v>
      </c>
      <c r="H40" s="10" t="n">
        <v>2201532</v>
      </c>
      <c r="I40" s="10" t="n">
        <v>9457433</v>
      </c>
      <c r="J40" s="10" t="n">
        <v>2387</v>
      </c>
      <c r="K40" s="10" t="s">
        <v>30</v>
      </c>
      <c r="L40" s="10"/>
      <c r="M40" s="11" t="s">
        <v>1740</v>
      </c>
      <c r="N40" s="24" t="n">
        <v>45883</v>
      </c>
      <c r="O40" s="25" t="n">
        <f aca="false">INT((N40-D40)/365.25)</f>
        <v>42</v>
      </c>
      <c r="P40" s="12" t="s">
        <v>22</v>
      </c>
    </row>
    <row r="41" customFormat="false" ht="15" hidden="false" customHeight="false" outlineLevel="0" collapsed="false">
      <c r="A41" s="51" t="n">
        <v>37</v>
      </c>
      <c r="B41" s="10" t="n">
        <v>856294</v>
      </c>
      <c r="C41" s="10" t="s">
        <v>1824</v>
      </c>
      <c r="D41" s="60" t="n">
        <v>31551</v>
      </c>
      <c r="E41" s="10" t="s">
        <v>1836</v>
      </c>
      <c r="F41" s="61" t="s">
        <v>1737</v>
      </c>
      <c r="G41" s="10" t="s">
        <v>1825</v>
      </c>
      <c r="H41" s="10" t="s">
        <v>1826</v>
      </c>
      <c r="I41" s="10" t="n">
        <v>46515</v>
      </c>
      <c r="J41" s="10" t="n">
        <v>23</v>
      </c>
      <c r="K41" s="10" t="s">
        <v>30</v>
      </c>
      <c r="L41" s="10"/>
      <c r="M41" s="11" t="s">
        <v>1740</v>
      </c>
      <c r="N41" s="24" t="n">
        <v>45883</v>
      </c>
      <c r="O41" s="25" t="n">
        <f aca="false">INT((N41-D41)/365.25)</f>
        <v>39</v>
      </c>
      <c r="P41" s="12" t="s">
        <v>22</v>
      </c>
    </row>
    <row r="42" customFormat="false" ht="15" hidden="false" customHeight="false" outlineLevel="0" collapsed="false">
      <c r="A42" s="51" t="n">
        <v>38</v>
      </c>
      <c r="B42" s="10" t="n">
        <v>874929</v>
      </c>
      <c r="C42" s="10" t="s">
        <v>1827</v>
      </c>
      <c r="D42" s="60" t="n">
        <v>37565</v>
      </c>
      <c r="E42" s="10" t="s">
        <v>1754</v>
      </c>
      <c r="F42" s="61" t="s">
        <v>1737</v>
      </c>
      <c r="G42" s="10" t="s">
        <v>1828</v>
      </c>
      <c r="H42" s="10" t="n">
        <v>4549231</v>
      </c>
      <c r="I42" s="10" t="n">
        <v>6817803</v>
      </c>
      <c r="J42" s="10" t="n">
        <v>50</v>
      </c>
      <c r="K42" s="10" t="s">
        <v>22</v>
      </c>
      <c r="L42" s="10"/>
      <c r="M42" s="11" t="s">
        <v>1740</v>
      </c>
      <c r="N42" s="24" t="n">
        <v>45883</v>
      </c>
      <c r="O42" s="25" t="n">
        <f aca="false">INT((N42-D42)/365.25)</f>
        <v>22</v>
      </c>
      <c r="P42" s="12" t="s">
        <v>22</v>
      </c>
    </row>
    <row r="43" customFormat="false" ht="15" hidden="false" customHeight="false" outlineLevel="0" collapsed="false">
      <c r="A43" s="51" t="n">
        <v>39</v>
      </c>
      <c r="B43" s="10" t="n">
        <v>874936</v>
      </c>
      <c r="C43" s="10" t="s">
        <v>1829</v>
      </c>
      <c r="D43" s="60" t="n">
        <v>36193</v>
      </c>
      <c r="E43" s="10" t="s">
        <v>1750</v>
      </c>
      <c r="F43" s="61" t="s">
        <v>1737</v>
      </c>
      <c r="G43" s="10" t="s">
        <v>1830</v>
      </c>
      <c r="H43" s="10" t="n">
        <v>4355780</v>
      </c>
      <c r="I43" s="10" t="n">
        <v>831351</v>
      </c>
      <c r="J43" s="10" t="n">
        <v>7301</v>
      </c>
      <c r="K43" s="10" t="s">
        <v>22</v>
      </c>
      <c r="L43" s="10"/>
      <c r="M43" s="11" t="s">
        <v>1740</v>
      </c>
      <c r="N43" s="24" t="n">
        <v>45883</v>
      </c>
      <c r="O43" s="25" t="n">
        <f aca="false">INT((N43-D43)/365.25)</f>
        <v>26</v>
      </c>
      <c r="P43" s="12" t="s">
        <v>22</v>
      </c>
    </row>
    <row r="44" customFormat="false" ht="15" hidden="false" customHeight="false" outlineLevel="0" collapsed="false">
      <c r="A44" s="51" t="n">
        <v>40</v>
      </c>
      <c r="B44" s="10" t="n">
        <v>851974</v>
      </c>
      <c r="C44" s="10" t="s">
        <v>1831</v>
      </c>
      <c r="D44" s="60" t="n">
        <v>30228</v>
      </c>
      <c r="E44" s="10" t="s">
        <v>1736</v>
      </c>
      <c r="F44" s="61" t="s">
        <v>1737</v>
      </c>
      <c r="G44" s="10" t="s">
        <v>1832</v>
      </c>
      <c r="H44" s="10" t="n">
        <v>2388640</v>
      </c>
      <c r="I44" s="10" t="n">
        <v>149958</v>
      </c>
      <c r="J44" s="10" t="n">
        <v>2340</v>
      </c>
      <c r="K44" s="10" t="s">
        <v>30</v>
      </c>
      <c r="L44" s="10"/>
      <c r="M44" s="11" t="s">
        <v>1740</v>
      </c>
      <c r="N44" s="24" t="n">
        <v>45883</v>
      </c>
      <c r="O44" s="25" t="n">
        <f aca="false">INT((N44-D44)/365.25)</f>
        <v>42</v>
      </c>
      <c r="P44" s="12" t="s">
        <v>22</v>
      </c>
    </row>
    <row r="45" customFormat="false" ht="15" hidden="false" customHeight="false" outlineLevel="0" collapsed="false">
      <c r="A45" s="51" t="n">
        <v>41</v>
      </c>
      <c r="B45" s="10" t="n">
        <v>874931</v>
      </c>
      <c r="C45" s="10" t="s">
        <v>1833</v>
      </c>
      <c r="D45" s="60" t="n">
        <v>31657</v>
      </c>
      <c r="E45" s="10" t="s">
        <v>1836</v>
      </c>
      <c r="F45" s="61" t="s">
        <v>1737</v>
      </c>
      <c r="G45" s="10" t="s">
        <v>1834</v>
      </c>
      <c r="H45" s="10" t="s">
        <v>1835</v>
      </c>
      <c r="I45" s="10" t="n">
        <v>222463</v>
      </c>
      <c r="J45" s="10" t="n">
        <v>5389</v>
      </c>
      <c r="K45" s="10" t="s">
        <v>22</v>
      </c>
      <c r="L45" s="10"/>
      <c r="M45" s="11" t="s">
        <v>1740</v>
      </c>
      <c r="N45" s="24" t="n">
        <v>45883</v>
      </c>
      <c r="O45" s="25" t="n">
        <f aca="false">INT((N45-D45)/365.25)</f>
        <v>38</v>
      </c>
      <c r="P45" s="12" t="s">
        <v>22</v>
      </c>
    </row>
  </sheetData>
  <mergeCells count="1">
    <mergeCell ref="A1:P2"/>
  </mergeCells>
  <conditionalFormatting sqref="O5:O45">
    <cfRule type="colorScale" priority="2">
      <colorScale>
        <cfvo type="num" val="17"/>
        <cfvo type="num" val="18"/>
        <color rgb="FFFF0000"/>
        <color rgb="FF92D050"/>
      </colorScale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true"/>
  </sheetPr>
  <dimension ref="A1:P56"/>
  <sheetViews>
    <sheetView showFormulas="false" showGridLines="true" showRowColHeaders="true" showZeros="true" rightToLeft="false" tabSelected="false" showOutlineSymbols="true" defaultGridColor="true" view="normal" topLeftCell="A28" colorId="64" zoomScale="90" zoomScaleNormal="90" zoomScalePageLayoutView="100" workbookViewId="0">
      <selection pane="topLeft" activeCell="A32" activeCellId="0" sqref="A32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8.72"/>
    <col collapsed="false" customWidth="true" hidden="false" outlineLevel="0" max="3" min="3" style="0" width="32.86"/>
    <col collapsed="false" customWidth="true" hidden="false" outlineLevel="0" max="4" min="4" style="0" width="9"/>
    <col collapsed="false" customWidth="true" hidden="false" outlineLevel="0" max="5" min="5" style="0" width="21"/>
    <col collapsed="false" customWidth="true" hidden="false" outlineLevel="0" max="6" min="6" style="0" width="6.43"/>
    <col collapsed="false" customWidth="true" hidden="false" outlineLevel="0" max="8" min="7" style="0" width="13"/>
    <col collapsed="false" customWidth="true" hidden="false" outlineLevel="0" max="9" min="9" style="0" width="7.72"/>
    <col collapsed="false" customWidth="true" hidden="false" outlineLevel="0" max="10" min="10" style="0" width="5"/>
    <col collapsed="false" customWidth="true" hidden="false" outlineLevel="0" max="11" min="11" style="0" width="7.43"/>
    <col collapsed="false" customWidth="true" hidden="true" outlineLevel="0" max="12" min="12" style="0" width="8.29"/>
    <col collapsed="false" customWidth="true" hidden="false" outlineLevel="0" max="13" min="13" style="0" width="18.29"/>
    <col collapsed="false" customWidth="true" hidden="false" outlineLevel="0" max="14" min="14" style="0" width="9.14"/>
    <col collapsed="false" customWidth="true" hidden="false" outlineLevel="0" max="15" min="15" style="0" width="5.71"/>
    <col collapsed="false" customWidth="true" hidden="false" outlineLevel="0" max="16" min="16" style="0" width="6.29"/>
    <col collapsed="false" customWidth="true" hidden="true" outlineLevel="0" max="17" min="17" style="0" width="10.43"/>
  </cols>
  <sheetData>
    <row r="1" customFormat="false" ht="15" hidden="false" customHeight="false" outlineLevel="0" collapsed="false">
      <c r="A1" s="18" t="s">
        <v>986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customFormat="false" ht="15" hidden="false" customHeight="false" outlineLevel="0" collapsed="false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customFormat="false" ht="15" hidden="false" customHeight="false" outlineLevel="0" collapsed="false">
      <c r="A3" s="43"/>
      <c r="B3" s="44" t="s">
        <v>1</v>
      </c>
      <c r="C3" s="44" t="s">
        <v>2</v>
      </c>
      <c r="D3" s="44" t="s">
        <v>3</v>
      </c>
      <c r="E3" s="44" t="s">
        <v>4</v>
      </c>
      <c r="F3" s="44" t="s">
        <v>5</v>
      </c>
      <c r="G3" s="45" t="s">
        <v>6</v>
      </c>
      <c r="H3" s="44" t="s">
        <v>7</v>
      </c>
      <c r="I3" s="44" t="s">
        <v>8</v>
      </c>
      <c r="J3" s="44" t="s">
        <v>9</v>
      </c>
      <c r="K3" s="44" t="s">
        <v>10</v>
      </c>
      <c r="L3" s="44" t="s">
        <v>1101</v>
      </c>
      <c r="M3" s="44" t="s">
        <v>11</v>
      </c>
      <c r="N3" s="44" t="s">
        <v>12</v>
      </c>
      <c r="O3" s="44" t="s">
        <v>13</v>
      </c>
      <c r="P3" s="44" t="s">
        <v>16</v>
      </c>
    </row>
    <row r="4" customFormat="false" ht="15" hidden="false" customHeight="false" outlineLevel="0" collapsed="false">
      <c r="A4" s="46"/>
      <c r="B4" s="47"/>
      <c r="C4" s="44" t="s">
        <v>1624</v>
      </c>
      <c r="D4" s="48"/>
      <c r="E4" s="47"/>
      <c r="F4" s="47"/>
      <c r="G4" s="47"/>
      <c r="H4" s="47"/>
      <c r="I4" s="47"/>
      <c r="J4" s="47"/>
      <c r="K4" s="47"/>
      <c r="L4" s="47"/>
      <c r="M4" s="49"/>
      <c r="N4" s="50"/>
      <c r="O4" s="44"/>
      <c r="P4" s="44"/>
    </row>
    <row r="5" customFormat="false" ht="15" hidden="false" customHeight="false" outlineLevel="0" collapsed="false">
      <c r="A5" s="51" t="n">
        <v>1</v>
      </c>
      <c r="B5" s="10" t="n">
        <v>851737</v>
      </c>
      <c r="C5" s="59" t="s">
        <v>1625</v>
      </c>
      <c r="D5" s="60" t="n">
        <v>38139</v>
      </c>
      <c r="E5" s="10" t="s">
        <v>1586</v>
      </c>
      <c r="F5" s="61" t="s">
        <v>160</v>
      </c>
      <c r="G5" s="10" t="s">
        <v>1626</v>
      </c>
      <c r="H5" s="10" t="n">
        <v>45205191</v>
      </c>
      <c r="I5" s="10" t="n">
        <v>1464774</v>
      </c>
      <c r="J5" s="10" t="n">
        <v>3407</v>
      </c>
      <c r="K5" s="10" t="s">
        <v>22</v>
      </c>
      <c r="L5" s="10"/>
      <c r="M5" s="11" t="s">
        <v>1627</v>
      </c>
      <c r="N5" s="24" t="n">
        <v>45881</v>
      </c>
      <c r="O5" s="25" t="n">
        <f aca="false">INT((N5-D5)/365.25)</f>
        <v>21</v>
      </c>
      <c r="P5" s="12" t="s">
        <v>22</v>
      </c>
    </row>
    <row r="6" customFormat="false" ht="15" hidden="false" customHeight="false" outlineLevel="0" collapsed="false">
      <c r="A6" s="51" t="n">
        <v>2</v>
      </c>
      <c r="B6" s="10" t="n">
        <v>874748</v>
      </c>
      <c r="C6" s="59" t="s">
        <v>1628</v>
      </c>
      <c r="D6" s="60" t="n">
        <v>38385</v>
      </c>
      <c r="E6" s="10" t="s">
        <v>1586</v>
      </c>
      <c r="F6" s="61" t="s">
        <v>160</v>
      </c>
      <c r="G6" s="10" t="s">
        <v>1629</v>
      </c>
      <c r="H6" s="10" t="n">
        <v>45156606</v>
      </c>
      <c r="I6" s="10" t="n">
        <v>1534606</v>
      </c>
      <c r="J6" s="10" t="n">
        <v>3439</v>
      </c>
      <c r="K6" s="10" t="s">
        <v>22</v>
      </c>
      <c r="L6" s="10"/>
      <c r="M6" s="11" t="s">
        <v>1627</v>
      </c>
      <c r="N6" s="24" t="n">
        <v>45881</v>
      </c>
      <c r="O6" s="25" t="n">
        <f aca="false">INT((N6-D6)/365.25)</f>
        <v>20</v>
      </c>
      <c r="P6" s="12" t="s">
        <v>22</v>
      </c>
    </row>
    <row r="7" customFormat="false" ht="15" hidden="false" customHeight="false" outlineLevel="0" collapsed="false">
      <c r="A7" s="51" t="n">
        <v>3</v>
      </c>
      <c r="B7" s="10" t="n">
        <v>874754</v>
      </c>
      <c r="C7" s="59" t="s">
        <v>1630</v>
      </c>
      <c r="D7" s="60" t="n">
        <v>36320</v>
      </c>
      <c r="E7" s="10" t="s">
        <v>1586</v>
      </c>
      <c r="F7" s="61" t="s">
        <v>160</v>
      </c>
      <c r="G7" s="10" t="s">
        <v>1631</v>
      </c>
      <c r="H7" s="10" t="s">
        <v>1632</v>
      </c>
      <c r="I7" s="10" t="n">
        <v>1349716</v>
      </c>
      <c r="J7" s="10" t="n">
        <v>5450</v>
      </c>
      <c r="K7" s="10" t="s">
        <v>992</v>
      </c>
      <c r="L7" s="10"/>
      <c r="M7" s="11" t="s">
        <v>1627</v>
      </c>
      <c r="N7" s="24" t="n">
        <v>45881</v>
      </c>
      <c r="O7" s="25" t="n">
        <f aca="false">INT((N7-D7)/365.25)</f>
        <v>26</v>
      </c>
      <c r="P7" s="12" t="s">
        <v>22</v>
      </c>
    </row>
    <row r="8" customFormat="false" ht="15" hidden="false" customHeight="false" outlineLevel="0" collapsed="false">
      <c r="A8" s="51" t="n">
        <v>4</v>
      </c>
      <c r="B8" s="10" t="n">
        <v>862132</v>
      </c>
      <c r="C8" s="59" t="s">
        <v>1633</v>
      </c>
      <c r="D8" s="60" t="n">
        <v>34868</v>
      </c>
      <c r="E8" s="10" t="s">
        <v>1538</v>
      </c>
      <c r="F8" s="61" t="s">
        <v>160</v>
      </c>
      <c r="G8" s="10" t="s">
        <v>1634</v>
      </c>
      <c r="H8" s="10" t="s">
        <v>1635</v>
      </c>
      <c r="I8" s="10" t="n">
        <v>941312</v>
      </c>
      <c r="J8" s="10" t="n">
        <v>5422</v>
      </c>
      <c r="K8" s="10" t="s">
        <v>22</v>
      </c>
      <c r="L8" s="10"/>
      <c r="M8" s="11" t="s">
        <v>1627</v>
      </c>
      <c r="N8" s="24" t="n">
        <v>45881</v>
      </c>
      <c r="O8" s="25" t="n">
        <f aca="false">INT((N8-D8)/365.25)</f>
        <v>30</v>
      </c>
      <c r="P8" s="12" t="s">
        <v>22</v>
      </c>
    </row>
    <row r="9" customFormat="false" ht="15" hidden="false" customHeight="false" outlineLevel="0" collapsed="false">
      <c r="A9" s="51" t="n">
        <v>5</v>
      </c>
      <c r="B9" s="10" t="n">
        <v>874404</v>
      </c>
      <c r="C9" s="10" t="s">
        <v>1636</v>
      </c>
      <c r="D9" s="60" t="n">
        <v>35793</v>
      </c>
      <c r="E9" s="10" t="s">
        <v>1586</v>
      </c>
      <c r="F9" s="61" t="s">
        <v>160</v>
      </c>
      <c r="G9" s="10" t="s">
        <v>1637</v>
      </c>
      <c r="H9" s="10" t="s">
        <v>1638</v>
      </c>
      <c r="I9" s="10" t="n">
        <v>7089170</v>
      </c>
      <c r="J9" s="10" t="n">
        <v>471</v>
      </c>
      <c r="K9" s="10" t="s">
        <v>22</v>
      </c>
      <c r="L9" s="10"/>
      <c r="M9" s="11" t="s">
        <v>1627</v>
      </c>
      <c r="N9" s="24" t="n">
        <v>45881</v>
      </c>
      <c r="O9" s="25" t="n">
        <f aca="false">INT((N9-D9)/365.25)</f>
        <v>27</v>
      </c>
      <c r="P9" s="12" t="s">
        <v>22</v>
      </c>
    </row>
    <row r="10" customFormat="false" ht="15" hidden="false" customHeight="false" outlineLevel="0" collapsed="false">
      <c r="A10" s="51" t="n">
        <v>6</v>
      </c>
      <c r="B10" s="10" t="n">
        <v>874005</v>
      </c>
      <c r="C10" s="59" t="s">
        <v>1639</v>
      </c>
      <c r="D10" s="60" t="n">
        <v>36346</v>
      </c>
      <c r="E10" s="10" t="s">
        <v>1538</v>
      </c>
      <c r="F10" s="61" t="s">
        <v>160</v>
      </c>
      <c r="G10" s="10" t="s">
        <v>1640</v>
      </c>
      <c r="H10" s="10" t="n">
        <v>40936449</v>
      </c>
      <c r="I10" s="10" t="n">
        <v>4284686</v>
      </c>
      <c r="J10" s="10" t="n">
        <v>50</v>
      </c>
      <c r="K10" s="10" t="s">
        <v>22</v>
      </c>
      <c r="L10" s="10"/>
      <c r="M10" s="11" t="s">
        <v>1627</v>
      </c>
      <c r="N10" s="24" t="n">
        <v>45881</v>
      </c>
      <c r="O10" s="25" t="n">
        <f aca="false">INT((N10-D10)/365.25)</f>
        <v>26</v>
      </c>
      <c r="P10" s="12" t="s">
        <v>22</v>
      </c>
    </row>
    <row r="11" customFormat="false" ht="15" hidden="false" customHeight="false" outlineLevel="0" collapsed="false">
      <c r="A11" s="51" t="n">
        <v>7</v>
      </c>
      <c r="B11" s="10" t="n">
        <v>874463</v>
      </c>
      <c r="C11" s="59" t="s">
        <v>1641</v>
      </c>
      <c r="D11" s="60" t="n">
        <v>36201</v>
      </c>
      <c r="E11" s="10" t="s">
        <v>1586</v>
      </c>
      <c r="F11" s="61" t="s">
        <v>160</v>
      </c>
      <c r="G11" s="10" t="s">
        <v>1642</v>
      </c>
      <c r="H11" s="10" t="s">
        <v>1643</v>
      </c>
      <c r="I11" s="10" t="n">
        <v>1377095</v>
      </c>
      <c r="J11" s="10" t="n">
        <v>9400</v>
      </c>
      <c r="K11" s="10" t="s">
        <v>2</v>
      </c>
      <c r="L11" s="10"/>
      <c r="M11" s="11" t="s">
        <v>1627</v>
      </c>
      <c r="N11" s="24" t="n">
        <v>45881</v>
      </c>
      <c r="O11" s="25" t="n">
        <f aca="false">INT((N11-D11)/365.25)</f>
        <v>26</v>
      </c>
      <c r="P11" s="12" t="s">
        <v>22</v>
      </c>
    </row>
    <row r="12" customFormat="false" ht="15" hidden="false" customHeight="false" outlineLevel="0" collapsed="false">
      <c r="A12" s="51" t="n">
        <v>8</v>
      </c>
      <c r="B12" s="10" t="n">
        <v>874749</v>
      </c>
      <c r="C12" s="59" t="s">
        <v>1644</v>
      </c>
      <c r="D12" s="60" t="n">
        <v>37891</v>
      </c>
      <c r="E12" s="10" t="s">
        <v>1586</v>
      </c>
      <c r="F12" s="61" t="s">
        <v>160</v>
      </c>
      <c r="G12" s="10" t="s">
        <v>1645</v>
      </c>
      <c r="H12" s="10" t="n">
        <v>45124141</v>
      </c>
      <c r="I12" s="10" t="n">
        <v>1136091</v>
      </c>
      <c r="J12" s="10" t="n">
        <v>407</v>
      </c>
      <c r="K12" s="10" t="s">
        <v>22</v>
      </c>
      <c r="L12" s="10"/>
      <c r="M12" s="11" t="s">
        <v>1627</v>
      </c>
      <c r="N12" s="24" t="n">
        <v>45881</v>
      </c>
      <c r="O12" s="25" t="n">
        <f aca="false">INT((N12-D12)/365.25)</f>
        <v>21</v>
      </c>
      <c r="P12" s="12" t="s">
        <v>22</v>
      </c>
    </row>
    <row r="13" customFormat="false" ht="15" hidden="false" customHeight="false" outlineLevel="0" collapsed="false">
      <c r="A13" s="51" t="n">
        <v>9</v>
      </c>
      <c r="B13" s="10" t="n">
        <v>861677</v>
      </c>
      <c r="C13" s="10" t="s">
        <v>1845</v>
      </c>
      <c r="D13" s="60" t="n">
        <v>36510</v>
      </c>
      <c r="E13" s="10" t="s">
        <v>1586</v>
      </c>
      <c r="F13" s="61" t="s">
        <v>160</v>
      </c>
      <c r="G13" s="10" t="s">
        <v>1846</v>
      </c>
      <c r="H13" s="10" t="s">
        <v>1847</v>
      </c>
      <c r="I13" s="10" t="n">
        <v>7181797</v>
      </c>
      <c r="J13" s="10" t="n">
        <v>4416</v>
      </c>
      <c r="K13" s="10" t="s">
        <v>30</v>
      </c>
      <c r="L13" s="10"/>
      <c r="M13" s="11" t="s">
        <v>1627</v>
      </c>
      <c r="N13" s="24" t="n">
        <v>45881</v>
      </c>
      <c r="O13" s="25" t="n">
        <f aca="false">INT((N13-D13)/365.25)</f>
        <v>25</v>
      </c>
      <c r="P13" s="12" t="s">
        <v>22</v>
      </c>
    </row>
    <row r="14" customFormat="false" ht="15" hidden="false" customHeight="false" outlineLevel="0" collapsed="false">
      <c r="A14" s="51" t="n">
        <v>10</v>
      </c>
      <c r="B14" s="10" t="n">
        <v>874371</v>
      </c>
      <c r="C14" s="59" t="s">
        <v>1646</v>
      </c>
      <c r="D14" s="60" t="n">
        <v>37694</v>
      </c>
      <c r="E14" s="10" t="s">
        <v>1538</v>
      </c>
      <c r="F14" s="61" t="s">
        <v>160</v>
      </c>
      <c r="G14" s="10" t="s">
        <v>1647</v>
      </c>
      <c r="H14" s="10" t="s">
        <v>1648</v>
      </c>
      <c r="I14" s="10" t="n">
        <v>1514069</v>
      </c>
      <c r="J14" s="10" t="n">
        <v>2457</v>
      </c>
      <c r="K14" s="10" t="s">
        <v>22</v>
      </c>
      <c r="L14" s="10"/>
      <c r="M14" s="11" t="s">
        <v>1627</v>
      </c>
      <c r="N14" s="24" t="n">
        <v>45881</v>
      </c>
      <c r="O14" s="25" t="n">
        <f aca="false">INT((N14-D14)/365.25)</f>
        <v>22</v>
      </c>
      <c r="P14" s="12" t="s">
        <v>22</v>
      </c>
    </row>
    <row r="15" customFormat="false" ht="15" hidden="false" customHeight="false" outlineLevel="0" collapsed="false">
      <c r="A15" s="51" t="n">
        <v>11</v>
      </c>
      <c r="B15" s="10" t="n">
        <v>851572</v>
      </c>
      <c r="C15" s="59" t="s">
        <v>1649</v>
      </c>
      <c r="D15" s="60" t="n">
        <v>29176</v>
      </c>
      <c r="E15" s="10" t="s">
        <v>1538</v>
      </c>
      <c r="F15" s="61" t="s">
        <v>160</v>
      </c>
      <c r="G15" s="10" t="s">
        <v>1650</v>
      </c>
      <c r="H15" s="10" t="s">
        <v>1651</v>
      </c>
      <c r="I15" s="10" t="n">
        <v>73391</v>
      </c>
      <c r="J15" s="10" t="n">
        <v>19</v>
      </c>
      <c r="K15" s="10" t="s">
        <v>22</v>
      </c>
      <c r="L15" s="10"/>
      <c r="M15" s="11" t="s">
        <v>1627</v>
      </c>
      <c r="N15" s="24" t="n">
        <v>45881</v>
      </c>
      <c r="O15" s="25" t="n">
        <f aca="false">INT((N15-D15)/365.25)</f>
        <v>45</v>
      </c>
      <c r="P15" s="12" t="s">
        <v>22</v>
      </c>
    </row>
    <row r="16" customFormat="false" ht="15" hidden="false" customHeight="false" outlineLevel="0" collapsed="false">
      <c r="A16" s="51" t="n">
        <v>12</v>
      </c>
      <c r="B16" s="10" t="n">
        <v>873784</v>
      </c>
      <c r="C16" s="10" t="s">
        <v>1848</v>
      </c>
      <c r="D16" s="60" t="n">
        <v>31431</v>
      </c>
      <c r="E16" s="10" t="s">
        <v>1538</v>
      </c>
      <c r="F16" s="61" t="s">
        <v>160</v>
      </c>
      <c r="G16" s="10" t="s">
        <v>1849</v>
      </c>
      <c r="H16" s="10" t="s">
        <v>1850</v>
      </c>
      <c r="I16" s="10" t="n">
        <v>68641</v>
      </c>
      <c r="J16" s="10" t="n">
        <v>26</v>
      </c>
      <c r="K16" s="10" t="s">
        <v>22</v>
      </c>
      <c r="L16" s="10"/>
      <c r="M16" s="11" t="s">
        <v>1627</v>
      </c>
      <c r="N16" s="24" t="n">
        <v>45881</v>
      </c>
      <c r="O16" s="25" t="n">
        <f aca="false">INT((N16-D16)/365.25)</f>
        <v>39</v>
      </c>
      <c r="P16" s="12" t="s">
        <v>22</v>
      </c>
    </row>
    <row r="17" customFormat="false" ht="15" hidden="false" customHeight="false" outlineLevel="0" collapsed="false">
      <c r="A17" s="51" t="n">
        <v>13</v>
      </c>
      <c r="B17" s="10" t="n">
        <v>874004</v>
      </c>
      <c r="C17" s="59" t="s">
        <v>1652</v>
      </c>
      <c r="D17" s="60" t="n">
        <v>37662</v>
      </c>
      <c r="E17" s="10" t="s">
        <v>1538</v>
      </c>
      <c r="F17" s="61" t="s">
        <v>160</v>
      </c>
      <c r="G17" s="10" t="s">
        <v>1653</v>
      </c>
      <c r="H17" s="10" t="s">
        <v>1654</v>
      </c>
      <c r="I17" s="10" t="n">
        <v>1503573</v>
      </c>
      <c r="J17" s="10" t="n">
        <v>6482</v>
      </c>
      <c r="K17" s="10" t="s">
        <v>30</v>
      </c>
      <c r="L17" s="10"/>
      <c r="M17" s="11" t="s">
        <v>1627</v>
      </c>
      <c r="N17" s="24" t="n">
        <v>45881</v>
      </c>
      <c r="O17" s="25" t="n">
        <f aca="false">INT((N17-D17)/365.25)</f>
        <v>22</v>
      </c>
      <c r="P17" s="12" t="s">
        <v>22</v>
      </c>
    </row>
    <row r="18" customFormat="false" ht="15" hidden="false" customHeight="false" outlineLevel="0" collapsed="false">
      <c r="A18" s="51" t="n">
        <v>14</v>
      </c>
      <c r="B18" s="10" t="n">
        <v>851721</v>
      </c>
      <c r="C18" s="59" t="s">
        <v>1655</v>
      </c>
      <c r="D18" s="60" t="n">
        <v>29418</v>
      </c>
      <c r="E18" s="10" t="s">
        <v>1538</v>
      </c>
      <c r="F18" s="61" t="s">
        <v>160</v>
      </c>
      <c r="G18" s="10" t="s">
        <v>1656</v>
      </c>
      <c r="H18" s="10" t="s">
        <v>1657</v>
      </c>
      <c r="I18" s="10" t="n">
        <v>511971</v>
      </c>
      <c r="J18" s="10" t="n">
        <v>8426</v>
      </c>
      <c r="K18" s="10" t="s">
        <v>22</v>
      </c>
      <c r="L18" s="10"/>
      <c r="M18" s="11" t="s">
        <v>1627</v>
      </c>
      <c r="N18" s="24" t="n">
        <v>45881</v>
      </c>
      <c r="O18" s="25" t="n">
        <f aca="false">INT((N18-D18)/365.25)</f>
        <v>45</v>
      </c>
      <c r="P18" s="12" t="s">
        <v>22</v>
      </c>
    </row>
    <row r="19" customFormat="false" ht="15" hidden="false" customHeight="false" outlineLevel="0" collapsed="false">
      <c r="A19" s="51" t="n">
        <v>15</v>
      </c>
      <c r="B19" s="10" t="n">
        <v>874478</v>
      </c>
      <c r="C19" s="10" t="s">
        <v>1851</v>
      </c>
      <c r="D19" s="60" t="n">
        <v>38799</v>
      </c>
      <c r="E19" s="10" t="s">
        <v>1538</v>
      </c>
      <c r="F19" s="61" t="s">
        <v>160</v>
      </c>
      <c r="G19" s="10" t="s">
        <v>1852</v>
      </c>
      <c r="H19" s="10" t="s">
        <v>1853</v>
      </c>
      <c r="I19" s="10" t="n">
        <v>1272399</v>
      </c>
      <c r="J19" s="10" t="n">
        <v>3469</v>
      </c>
      <c r="K19" s="10" t="s">
        <v>30</v>
      </c>
      <c r="L19" s="10"/>
      <c r="M19" s="11" t="s">
        <v>1627</v>
      </c>
      <c r="N19" s="24" t="n">
        <v>45881</v>
      </c>
      <c r="O19" s="25" t="n">
        <f aca="false">INT((N19-D19)/365.25)</f>
        <v>19</v>
      </c>
      <c r="P19" s="12" t="s">
        <v>22</v>
      </c>
    </row>
    <row r="20" customFormat="false" ht="15" hidden="false" customHeight="false" outlineLevel="0" collapsed="false">
      <c r="A20" s="51" t="n">
        <v>16</v>
      </c>
      <c r="B20" s="10" t="n">
        <v>861612</v>
      </c>
      <c r="C20" s="59" t="s">
        <v>1658</v>
      </c>
      <c r="D20" s="60" t="n">
        <v>37190</v>
      </c>
      <c r="E20" s="10" t="s">
        <v>1538</v>
      </c>
      <c r="F20" s="61" t="s">
        <v>160</v>
      </c>
      <c r="G20" s="10" t="s">
        <v>1659</v>
      </c>
      <c r="H20" s="10" t="s">
        <v>1660</v>
      </c>
      <c r="I20" s="10" t="n">
        <v>4931770</v>
      </c>
      <c r="J20" s="10" t="n">
        <v>888</v>
      </c>
      <c r="K20" s="10" t="s">
        <v>30</v>
      </c>
      <c r="L20" s="10"/>
      <c r="M20" s="11" t="s">
        <v>1627</v>
      </c>
      <c r="N20" s="24" t="n">
        <v>45881</v>
      </c>
      <c r="O20" s="25" t="n">
        <f aca="false">INT((N20-D20)/365.25)</f>
        <v>23</v>
      </c>
      <c r="P20" s="12" t="s">
        <v>22</v>
      </c>
    </row>
    <row r="21" customFormat="false" ht="15" hidden="false" customHeight="false" outlineLevel="0" collapsed="false">
      <c r="A21" s="51" t="n">
        <v>17</v>
      </c>
      <c r="B21" s="10" t="n">
        <v>874389</v>
      </c>
      <c r="C21" s="59" t="s">
        <v>1661</v>
      </c>
      <c r="D21" s="60" t="n">
        <v>28234</v>
      </c>
      <c r="E21" s="10" t="s">
        <v>1538</v>
      </c>
      <c r="F21" s="61" t="s">
        <v>160</v>
      </c>
      <c r="G21" s="10" t="s">
        <v>1662</v>
      </c>
      <c r="H21" s="10" t="s">
        <v>1663</v>
      </c>
      <c r="I21" s="10" t="n">
        <v>614070</v>
      </c>
      <c r="J21" s="10" t="n">
        <v>2445</v>
      </c>
      <c r="K21" s="10" t="s">
        <v>22</v>
      </c>
      <c r="L21" s="10"/>
      <c r="M21" s="11" t="s">
        <v>1627</v>
      </c>
      <c r="N21" s="24" t="n">
        <v>45881</v>
      </c>
      <c r="O21" s="25" t="n">
        <f aca="false">INT((N21-D21)/365.25)</f>
        <v>48</v>
      </c>
      <c r="P21" s="12" t="s">
        <v>22</v>
      </c>
    </row>
    <row r="22" customFormat="false" ht="15" hidden="false" customHeight="false" outlineLevel="0" collapsed="false">
      <c r="A22" s="51" t="n">
        <v>18</v>
      </c>
      <c r="B22" s="10" t="n">
        <v>872260</v>
      </c>
      <c r="C22" s="10" t="s">
        <v>1854</v>
      </c>
      <c r="D22" s="60" t="n">
        <v>33629</v>
      </c>
      <c r="E22" s="10" t="s">
        <v>1538</v>
      </c>
      <c r="F22" s="61" t="s">
        <v>160</v>
      </c>
      <c r="G22" s="10" t="s">
        <v>1855</v>
      </c>
      <c r="H22" s="10" t="s">
        <v>1856</v>
      </c>
      <c r="I22" s="10" t="n">
        <v>1275039</v>
      </c>
      <c r="J22" s="10" t="n">
        <v>60</v>
      </c>
      <c r="K22" s="10" t="s">
        <v>22</v>
      </c>
      <c r="L22" s="10"/>
      <c r="M22" s="11" t="s">
        <v>1627</v>
      </c>
      <c r="N22" s="24" t="n">
        <v>45881</v>
      </c>
      <c r="O22" s="25" t="n">
        <f aca="false">INT((N22-D22)/365.25)</f>
        <v>33</v>
      </c>
      <c r="P22" s="12" t="s">
        <v>22</v>
      </c>
    </row>
    <row r="23" customFormat="false" ht="15" hidden="false" customHeight="false" outlineLevel="0" collapsed="false">
      <c r="A23" s="51" t="n">
        <v>19</v>
      </c>
      <c r="B23" s="10" t="n">
        <v>861684</v>
      </c>
      <c r="C23" s="59" t="s">
        <v>1664</v>
      </c>
      <c r="D23" s="60" t="n">
        <v>26085</v>
      </c>
      <c r="E23" s="10" t="s">
        <v>1538</v>
      </c>
      <c r="F23" s="61" t="s">
        <v>160</v>
      </c>
      <c r="G23" s="10" t="s">
        <v>1665</v>
      </c>
      <c r="H23" s="10" t="n">
        <v>1669417</v>
      </c>
      <c r="I23" s="10" t="n">
        <v>6439069</v>
      </c>
      <c r="J23" s="10" t="n">
        <v>30</v>
      </c>
      <c r="K23" s="10" t="s">
        <v>22</v>
      </c>
      <c r="L23" s="10"/>
      <c r="M23" s="11" t="s">
        <v>1627</v>
      </c>
      <c r="N23" s="24" t="n">
        <v>45881</v>
      </c>
      <c r="O23" s="25" t="n">
        <f aca="false">INT((N23-D23)/365.25)</f>
        <v>54</v>
      </c>
      <c r="P23" s="12" t="s">
        <v>22</v>
      </c>
    </row>
    <row r="24" customFormat="false" ht="15" hidden="false" customHeight="false" outlineLevel="0" collapsed="false">
      <c r="A24" s="51" t="n">
        <v>20</v>
      </c>
      <c r="B24" s="10" t="n">
        <v>861689</v>
      </c>
      <c r="C24" s="59" t="s">
        <v>1666</v>
      </c>
      <c r="D24" s="60" t="n">
        <v>37206</v>
      </c>
      <c r="E24" s="10" t="s">
        <v>1586</v>
      </c>
      <c r="F24" s="61" t="s">
        <v>160</v>
      </c>
      <c r="G24" s="10" t="s">
        <v>1667</v>
      </c>
      <c r="H24" s="10" t="s">
        <v>1668</v>
      </c>
      <c r="I24" s="10" t="n">
        <v>1442812</v>
      </c>
      <c r="J24" s="10" t="n">
        <v>8428</v>
      </c>
      <c r="K24" s="10" t="s">
        <v>22</v>
      </c>
      <c r="L24" s="10"/>
      <c r="M24" s="11" t="s">
        <v>1627</v>
      </c>
      <c r="N24" s="24" t="n">
        <v>45881</v>
      </c>
      <c r="O24" s="25" t="n">
        <f aca="false">INT((N24-D24)/365.25)</f>
        <v>23</v>
      </c>
      <c r="P24" s="12" t="s">
        <v>22</v>
      </c>
    </row>
    <row r="25" customFormat="false" ht="15" hidden="false" customHeight="false" outlineLevel="0" collapsed="false">
      <c r="A25" s="51" t="n">
        <v>21</v>
      </c>
      <c r="B25" s="10" t="n">
        <v>874476</v>
      </c>
      <c r="C25" s="59" t="s">
        <v>1669</v>
      </c>
      <c r="D25" s="60" t="n">
        <v>32272</v>
      </c>
      <c r="E25" s="10" t="s">
        <v>1586</v>
      </c>
      <c r="F25" s="61" t="s">
        <v>160</v>
      </c>
      <c r="G25" s="10" t="s">
        <v>1670</v>
      </c>
      <c r="H25" s="10" t="s">
        <v>1671</v>
      </c>
      <c r="I25" s="10" t="n">
        <v>832143</v>
      </c>
      <c r="J25" s="10" t="n">
        <v>9445</v>
      </c>
      <c r="K25" s="10" t="s">
        <v>22</v>
      </c>
      <c r="L25" s="10"/>
      <c r="M25" s="11" t="s">
        <v>1627</v>
      </c>
      <c r="N25" s="24" t="n">
        <v>45881</v>
      </c>
      <c r="O25" s="25" t="n">
        <f aca="false">INT((N25-D25)/365.25)</f>
        <v>37</v>
      </c>
      <c r="P25" s="12" t="s">
        <v>22</v>
      </c>
    </row>
    <row r="26" customFormat="false" ht="15" hidden="false" customHeight="false" outlineLevel="0" collapsed="false">
      <c r="A26" s="51" t="n">
        <v>22</v>
      </c>
      <c r="B26" s="10" t="n">
        <v>874396</v>
      </c>
      <c r="C26" s="59" t="s">
        <v>1672</v>
      </c>
      <c r="D26" s="60" t="n">
        <v>27289</v>
      </c>
      <c r="E26" s="10" t="s">
        <v>1538</v>
      </c>
      <c r="F26" s="61" t="s">
        <v>160</v>
      </c>
      <c r="G26" s="10" t="s">
        <v>1673</v>
      </c>
      <c r="H26" s="10" t="n">
        <v>2008016862</v>
      </c>
      <c r="I26" s="10" t="n">
        <v>9582519</v>
      </c>
      <c r="J26" s="10" t="n">
        <v>3472</v>
      </c>
      <c r="K26" s="10" t="s">
        <v>22</v>
      </c>
      <c r="L26" s="10"/>
      <c r="M26" s="11" t="s">
        <v>1627</v>
      </c>
      <c r="N26" s="24" t="n">
        <v>45881</v>
      </c>
      <c r="O26" s="25" t="n">
        <f aca="false">INT((N26-D26)/365.25)</f>
        <v>50</v>
      </c>
      <c r="P26" s="12" t="s">
        <v>22</v>
      </c>
    </row>
    <row r="27" customFormat="false" ht="15" hidden="false" customHeight="false" outlineLevel="0" collapsed="false">
      <c r="A27" s="51" t="n">
        <v>23</v>
      </c>
      <c r="B27" s="10" t="n">
        <v>857141</v>
      </c>
      <c r="C27" s="10" t="s">
        <v>1857</v>
      </c>
      <c r="D27" s="60" t="n">
        <v>35916</v>
      </c>
      <c r="E27" s="10" t="s">
        <v>1586</v>
      </c>
      <c r="F27" s="61" t="s">
        <v>160</v>
      </c>
      <c r="G27" s="10" t="s">
        <v>1858</v>
      </c>
      <c r="H27" s="10" t="s">
        <v>1859</v>
      </c>
      <c r="I27" s="10" t="n">
        <v>135466</v>
      </c>
      <c r="J27" s="10" t="n">
        <v>6402</v>
      </c>
      <c r="K27" s="10" t="s">
        <v>30</v>
      </c>
      <c r="L27" s="10"/>
      <c r="M27" s="11" t="s">
        <v>1627</v>
      </c>
      <c r="N27" s="24" t="n">
        <v>45881</v>
      </c>
      <c r="O27" s="25" t="n">
        <f aca="false">INT((N27-D27)/365.25)</f>
        <v>27</v>
      </c>
      <c r="P27" s="12" t="s">
        <v>22</v>
      </c>
    </row>
    <row r="28" customFormat="false" ht="15" hidden="false" customHeight="false" outlineLevel="0" collapsed="false">
      <c r="A28" s="51" t="n">
        <v>24</v>
      </c>
      <c r="B28" s="10" t="n">
        <v>851743</v>
      </c>
      <c r="C28" s="59" t="s">
        <v>1674</v>
      </c>
      <c r="D28" s="60" t="n">
        <v>35212</v>
      </c>
      <c r="E28" s="10" t="s">
        <v>1538</v>
      </c>
      <c r="F28" s="61" t="s">
        <v>160</v>
      </c>
      <c r="G28" s="10" t="s">
        <v>1675</v>
      </c>
      <c r="H28" s="10" t="s">
        <v>1676</v>
      </c>
      <c r="I28" s="10" t="n">
        <v>1158557</v>
      </c>
      <c r="J28" s="10" t="n">
        <v>435</v>
      </c>
      <c r="K28" s="10" t="s">
        <v>22</v>
      </c>
      <c r="L28" s="10"/>
      <c r="M28" s="11" t="s">
        <v>1627</v>
      </c>
      <c r="N28" s="24" t="n">
        <v>45881</v>
      </c>
      <c r="O28" s="25" t="n">
        <f aca="false">INT((N28-D28)/365.25)</f>
        <v>29</v>
      </c>
      <c r="P28" s="12" t="s">
        <v>22</v>
      </c>
    </row>
    <row r="29" customFormat="false" ht="15" hidden="false" customHeight="false" outlineLevel="0" collapsed="false">
      <c r="A29" s="51" t="n">
        <v>25</v>
      </c>
      <c r="B29" s="10" t="n">
        <v>874469</v>
      </c>
      <c r="C29" s="59" t="s">
        <v>1677</v>
      </c>
      <c r="D29" s="60" t="n">
        <v>36571</v>
      </c>
      <c r="E29" s="10" t="s">
        <v>1586</v>
      </c>
      <c r="F29" s="61" t="s">
        <v>160</v>
      </c>
      <c r="G29" s="10" t="s">
        <v>1678</v>
      </c>
      <c r="H29" s="10" t="n">
        <v>4055870</v>
      </c>
      <c r="I29" s="10" t="n">
        <v>5661201</v>
      </c>
      <c r="J29" s="10" t="n">
        <v>50</v>
      </c>
      <c r="K29" s="10" t="s">
        <v>30</v>
      </c>
      <c r="L29" s="10"/>
      <c r="M29" s="11" t="s">
        <v>1627</v>
      </c>
      <c r="N29" s="24" t="n">
        <v>45881</v>
      </c>
      <c r="O29" s="25" t="n">
        <f aca="false">INT((N29-D29)/365.25)</f>
        <v>25</v>
      </c>
      <c r="P29" s="12" t="s">
        <v>22</v>
      </c>
    </row>
    <row r="30" customFormat="false" ht="15" hidden="false" customHeight="false" outlineLevel="0" collapsed="false">
      <c r="A30" s="51" t="n">
        <v>26</v>
      </c>
      <c r="B30" s="10" t="n">
        <v>851596</v>
      </c>
      <c r="C30" s="59" t="s">
        <v>1679</v>
      </c>
      <c r="D30" s="60" t="n">
        <v>30722</v>
      </c>
      <c r="E30" s="10" t="s">
        <v>1586</v>
      </c>
      <c r="F30" s="61" t="s">
        <v>160</v>
      </c>
      <c r="G30" s="10" t="s">
        <v>1680</v>
      </c>
      <c r="H30" s="10" t="n">
        <v>6711090</v>
      </c>
      <c r="I30" s="10" t="n">
        <v>673396</v>
      </c>
      <c r="J30" s="10" t="n">
        <v>6492</v>
      </c>
      <c r="K30" s="10" t="s">
        <v>30</v>
      </c>
      <c r="L30" s="10"/>
      <c r="M30" s="11" t="s">
        <v>1627</v>
      </c>
      <c r="N30" s="24" t="n">
        <v>45881</v>
      </c>
      <c r="O30" s="25" t="n">
        <f aca="false">INT((N30-D30)/365.25)</f>
        <v>41</v>
      </c>
      <c r="P30" s="12" t="s">
        <v>22</v>
      </c>
    </row>
    <row r="31" customFormat="false" ht="15" hidden="false" customHeight="false" outlineLevel="0" collapsed="false">
      <c r="A31" s="51" t="n">
        <v>27</v>
      </c>
      <c r="B31" s="10" t="n">
        <v>873786</v>
      </c>
      <c r="C31" s="10" t="s">
        <v>1860</v>
      </c>
      <c r="D31" s="60" t="n">
        <v>34313</v>
      </c>
      <c r="E31" s="10" t="s">
        <v>1586</v>
      </c>
      <c r="F31" s="61" t="s">
        <v>160</v>
      </c>
      <c r="G31" s="10" t="s">
        <v>1861</v>
      </c>
      <c r="H31" s="10" t="s">
        <v>1862</v>
      </c>
      <c r="I31" s="10" t="n">
        <v>7102353</v>
      </c>
      <c r="J31" s="10" t="n">
        <v>5459</v>
      </c>
      <c r="K31" s="10" t="s">
        <v>992</v>
      </c>
      <c r="L31" s="10"/>
      <c r="M31" s="11" t="s">
        <v>1627</v>
      </c>
      <c r="N31" s="24" t="n">
        <v>45881</v>
      </c>
      <c r="O31" s="25" t="n">
        <f aca="false">INT((N31-D31)/365.25)</f>
        <v>31</v>
      </c>
      <c r="P31" s="12" t="s">
        <v>22</v>
      </c>
    </row>
    <row r="32" customFormat="false" ht="15" hidden="false" customHeight="false" outlineLevel="0" collapsed="false">
      <c r="A32" s="51" t="n">
        <v>28</v>
      </c>
      <c r="B32" s="10" t="n">
        <v>874739</v>
      </c>
      <c r="C32" s="10" t="s">
        <v>1681</v>
      </c>
      <c r="D32" s="60" t="n">
        <v>36774</v>
      </c>
      <c r="E32" s="10" t="s">
        <v>1586</v>
      </c>
      <c r="F32" s="61" t="s">
        <v>160</v>
      </c>
      <c r="G32" s="10" t="s">
        <v>1682</v>
      </c>
      <c r="H32" s="10" t="s">
        <v>1683</v>
      </c>
      <c r="I32" s="10" t="n">
        <v>1515605</v>
      </c>
      <c r="J32" s="10" t="n">
        <v>9490</v>
      </c>
      <c r="K32" s="10" t="s">
        <v>1483</v>
      </c>
      <c r="L32" s="10"/>
      <c r="M32" s="11" t="s">
        <v>1627</v>
      </c>
      <c r="N32" s="24" t="n">
        <v>45881</v>
      </c>
      <c r="O32" s="25" t="n">
        <f aca="false">INT((N32-D32)/365.25)</f>
        <v>24</v>
      </c>
      <c r="P32" s="12" t="s">
        <v>22</v>
      </c>
    </row>
    <row r="33" customFormat="false" ht="15" hidden="false" customHeight="false" outlineLevel="0" collapsed="false">
      <c r="A33" s="51" t="n">
        <v>29</v>
      </c>
      <c r="B33" s="10" t="n">
        <v>874351</v>
      </c>
      <c r="C33" s="59" t="s">
        <v>1684</v>
      </c>
      <c r="D33" s="60" t="n">
        <v>38324</v>
      </c>
      <c r="E33" s="10" t="s">
        <v>1586</v>
      </c>
      <c r="F33" s="10" t="s">
        <v>160</v>
      </c>
      <c r="G33" s="10" t="s">
        <v>1685</v>
      </c>
      <c r="H33" s="10" t="s">
        <v>1686</v>
      </c>
      <c r="I33" s="10" t="n">
        <v>976394</v>
      </c>
      <c r="J33" s="10" t="n">
        <v>7405</v>
      </c>
      <c r="K33" s="10" t="s">
        <v>30</v>
      </c>
      <c r="L33" s="10"/>
      <c r="M33" s="11" t="s">
        <v>1627</v>
      </c>
      <c r="N33" s="24" t="n">
        <v>45881</v>
      </c>
      <c r="O33" s="25" t="n">
        <f aca="false">INT((N33-D33)/365.25)</f>
        <v>20</v>
      </c>
      <c r="P33" s="12" t="s">
        <v>22</v>
      </c>
    </row>
    <row r="34" customFormat="false" ht="15" hidden="false" customHeight="false" outlineLevel="0" collapsed="false">
      <c r="A34" s="51" t="n">
        <v>30</v>
      </c>
      <c r="B34" s="10" t="n">
        <v>874477</v>
      </c>
      <c r="C34" s="59" t="s">
        <v>1687</v>
      </c>
      <c r="D34" s="60" t="n">
        <v>37470</v>
      </c>
      <c r="E34" s="10" t="s">
        <v>1538</v>
      </c>
      <c r="F34" s="61" t="s">
        <v>160</v>
      </c>
      <c r="G34" s="10" t="s">
        <v>1688</v>
      </c>
      <c r="H34" s="10" t="s">
        <v>1689</v>
      </c>
      <c r="I34" s="10" t="n">
        <v>1287656</v>
      </c>
      <c r="J34" s="10" t="n">
        <v>5447</v>
      </c>
      <c r="K34" s="10" t="s">
        <v>22</v>
      </c>
      <c r="L34" s="10"/>
      <c r="M34" s="11" t="s">
        <v>1627</v>
      </c>
      <c r="N34" s="24" t="n">
        <v>45881</v>
      </c>
      <c r="O34" s="25" t="n">
        <f aca="false">INT((N34-D34)/365.25)</f>
        <v>23</v>
      </c>
      <c r="P34" s="12" t="s">
        <v>22</v>
      </c>
    </row>
    <row r="35" customFormat="false" ht="15" hidden="false" customHeight="false" outlineLevel="0" collapsed="false">
      <c r="A35" s="51" t="n">
        <v>31</v>
      </c>
      <c r="B35" s="10" t="n">
        <v>851603</v>
      </c>
      <c r="C35" s="59" t="s">
        <v>1690</v>
      </c>
      <c r="D35" s="60" t="n">
        <v>27889</v>
      </c>
      <c r="E35" s="10" t="s">
        <v>1586</v>
      </c>
      <c r="F35" s="61" t="s">
        <v>160</v>
      </c>
      <c r="G35" s="10" t="s">
        <v>1691</v>
      </c>
      <c r="H35" s="10" t="s">
        <v>1692</v>
      </c>
      <c r="I35" s="10" t="n">
        <v>9641114</v>
      </c>
      <c r="J35" s="10" t="n">
        <v>30</v>
      </c>
      <c r="K35" s="10" t="s">
        <v>22</v>
      </c>
      <c r="L35" s="10"/>
      <c r="M35" s="11" t="s">
        <v>1627</v>
      </c>
      <c r="N35" s="24" t="n">
        <v>45881</v>
      </c>
      <c r="O35" s="25" t="n">
        <f aca="false">INT((N35-D35)/365.25)</f>
        <v>49</v>
      </c>
      <c r="P35" s="12" t="s">
        <v>22</v>
      </c>
    </row>
    <row r="36" customFormat="false" ht="15" hidden="false" customHeight="false" outlineLevel="0" collapsed="false">
      <c r="A36" s="51" t="n">
        <v>32</v>
      </c>
      <c r="B36" s="10" t="n">
        <v>874375</v>
      </c>
      <c r="C36" s="10" t="s">
        <v>1863</v>
      </c>
      <c r="D36" s="60" t="n">
        <v>28622</v>
      </c>
      <c r="E36" s="10" t="s">
        <v>1586</v>
      </c>
      <c r="F36" s="61" t="s">
        <v>160</v>
      </c>
      <c r="G36" s="10" t="s">
        <v>1864</v>
      </c>
      <c r="H36" s="10" t="n">
        <v>1811286</v>
      </c>
      <c r="I36" s="10" t="n">
        <v>7017329</v>
      </c>
      <c r="J36" s="10" t="n">
        <v>60</v>
      </c>
      <c r="K36" s="10" t="s">
        <v>22</v>
      </c>
      <c r="L36" s="10"/>
      <c r="M36" s="11" t="s">
        <v>1627</v>
      </c>
      <c r="N36" s="24" t="n">
        <v>45881</v>
      </c>
      <c r="O36" s="25" t="n">
        <f aca="false">INT((N36-D36)/365.25)</f>
        <v>47</v>
      </c>
      <c r="P36" s="12" t="s">
        <v>22</v>
      </c>
    </row>
    <row r="37" customFormat="false" ht="15" hidden="false" customHeight="false" outlineLevel="0" collapsed="false">
      <c r="A37" s="51" t="n">
        <v>33</v>
      </c>
      <c r="B37" s="10" t="n">
        <v>874471</v>
      </c>
      <c r="C37" s="59" t="s">
        <v>1693</v>
      </c>
      <c r="D37" s="60" t="n">
        <v>38025</v>
      </c>
      <c r="E37" s="10" t="s">
        <v>1586</v>
      </c>
      <c r="F37" s="61" t="s">
        <v>160</v>
      </c>
      <c r="G37" s="10" t="s">
        <v>1694</v>
      </c>
      <c r="H37" s="10" t="s">
        <v>1695</v>
      </c>
      <c r="I37" s="10" t="n">
        <v>1070194</v>
      </c>
      <c r="J37" s="10" t="n">
        <v>2479</v>
      </c>
      <c r="K37" s="10" t="s">
        <v>1509</v>
      </c>
      <c r="L37" s="10"/>
      <c r="M37" s="11" t="s">
        <v>1627</v>
      </c>
      <c r="N37" s="24" t="n">
        <v>45881</v>
      </c>
      <c r="O37" s="25" t="n">
        <f aca="false">INT((N37-D37)/365.25)</f>
        <v>21</v>
      </c>
      <c r="P37" s="12" t="s">
        <v>22</v>
      </c>
    </row>
    <row r="38" customFormat="false" ht="15" hidden="false" customHeight="false" outlineLevel="0" collapsed="false">
      <c r="A38" s="51" t="n">
        <v>34</v>
      </c>
      <c r="B38" s="10" t="n">
        <v>874697</v>
      </c>
      <c r="C38" s="59" t="s">
        <v>1696</v>
      </c>
      <c r="D38" s="60" t="n">
        <v>38903</v>
      </c>
      <c r="E38" s="10" t="s">
        <v>1538</v>
      </c>
      <c r="F38" s="61" t="s">
        <v>160</v>
      </c>
      <c r="G38" s="10" t="s">
        <v>1697</v>
      </c>
      <c r="H38" s="10" t="s">
        <v>1698</v>
      </c>
      <c r="I38" s="10" t="n">
        <v>1247693</v>
      </c>
      <c r="J38" s="10" t="n">
        <v>7401</v>
      </c>
      <c r="K38" s="10" t="s">
        <v>30</v>
      </c>
      <c r="L38" s="10"/>
      <c r="M38" s="11" t="s">
        <v>1627</v>
      </c>
      <c r="N38" s="24" t="n">
        <v>45881</v>
      </c>
      <c r="O38" s="25" t="n">
        <f aca="false">INT((N38-D38)/365.25)</f>
        <v>19</v>
      </c>
      <c r="P38" s="12" t="s">
        <v>22</v>
      </c>
    </row>
    <row r="39" customFormat="false" ht="15" hidden="false" customHeight="false" outlineLevel="0" collapsed="false">
      <c r="A39" s="51" t="n">
        <v>35</v>
      </c>
      <c r="B39" s="10" t="n">
        <v>862638</v>
      </c>
      <c r="C39" s="10" t="s">
        <v>1865</v>
      </c>
      <c r="D39" s="60" t="n">
        <v>38090</v>
      </c>
      <c r="E39" s="10" t="s">
        <v>1586</v>
      </c>
      <c r="F39" s="61" t="s">
        <v>160</v>
      </c>
      <c r="G39" s="10" t="s">
        <v>1866</v>
      </c>
      <c r="H39" s="10" t="n">
        <v>2272804071</v>
      </c>
      <c r="I39" s="10" t="n">
        <v>1087792</v>
      </c>
      <c r="J39" s="10" t="n">
        <v>532</v>
      </c>
      <c r="K39" s="10" t="s">
        <v>22</v>
      </c>
      <c r="L39" s="10"/>
      <c r="M39" s="11" t="s">
        <v>1627</v>
      </c>
      <c r="N39" s="24" t="n">
        <v>45881</v>
      </c>
      <c r="O39" s="25" t="n">
        <f aca="false">INT((N39-D39)/365.25)</f>
        <v>21</v>
      </c>
      <c r="P39" s="12" t="s">
        <v>22</v>
      </c>
    </row>
    <row r="40" customFormat="false" ht="15" hidden="false" customHeight="false" outlineLevel="0" collapsed="false">
      <c r="A40" s="51" t="n">
        <v>36</v>
      </c>
      <c r="B40" s="52" t="n">
        <v>851622</v>
      </c>
      <c r="C40" s="52" t="s">
        <v>1699</v>
      </c>
      <c r="D40" s="60" t="n">
        <v>29192</v>
      </c>
      <c r="E40" s="10" t="s">
        <v>1586</v>
      </c>
      <c r="F40" s="61" t="s">
        <v>160</v>
      </c>
      <c r="G40" s="10" t="s">
        <v>1700</v>
      </c>
      <c r="H40" s="10" t="n">
        <v>37089889</v>
      </c>
      <c r="I40" s="10" t="n">
        <v>485042</v>
      </c>
      <c r="J40" s="10" t="n">
        <v>2403</v>
      </c>
      <c r="K40" s="10" t="s">
        <v>22</v>
      </c>
      <c r="L40" s="10"/>
      <c r="M40" s="11" t="s">
        <v>1627</v>
      </c>
      <c r="N40" s="24" t="n">
        <v>45881</v>
      </c>
      <c r="O40" s="25" t="n">
        <f aca="false">INT((N40-D40)/365.25)</f>
        <v>45</v>
      </c>
      <c r="P40" s="12" t="s">
        <v>22</v>
      </c>
    </row>
    <row r="41" customFormat="false" ht="15" hidden="false" customHeight="false" outlineLevel="0" collapsed="false">
      <c r="A41" s="51" t="n">
        <v>37</v>
      </c>
      <c r="B41" s="10" t="n">
        <v>874374</v>
      </c>
      <c r="C41" s="59" t="s">
        <v>1701</v>
      </c>
      <c r="D41" s="60" t="n">
        <v>32898</v>
      </c>
      <c r="E41" s="10" t="s">
        <v>1586</v>
      </c>
      <c r="F41" s="61" t="s">
        <v>160</v>
      </c>
      <c r="G41" s="10" t="s">
        <v>1702</v>
      </c>
      <c r="H41" s="10" t="s">
        <v>992</v>
      </c>
      <c r="I41" s="10" t="n">
        <v>1080142</v>
      </c>
      <c r="J41" s="10" t="n">
        <v>4445</v>
      </c>
      <c r="K41" s="10" t="s">
        <v>30</v>
      </c>
      <c r="L41" s="10"/>
      <c r="M41" s="11" t="s">
        <v>1627</v>
      </c>
      <c r="N41" s="24" t="n">
        <v>45881</v>
      </c>
      <c r="O41" s="25" t="n">
        <f aca="false">INT((N41-D41)/365.25)</f>
        <v>35</v>
      </c>
      <c r="P41" s="12" t="s">
        <v>22</v>
      </c>
    </row>
    <row r="42" customFormat="false" ht="15" hidden="false" customHeight="false" outlineLevel="0" collapsed="false">
      <c r="A42" s="51" t="n">
        <v>38</v>
      </c>
      <c r="B42" s="10" t="n">
        <v>874405</v>
      </c>
      <c r="C42" s="59" t="s">
        <v>1703</v>
      </c>
      <c r="D42" s="60" t="n">
        <v>28357</v>
      </c>
      <c r="E42" s="10" t="s">
        <v>1586</v>
      </c>
      <c r="F42" s="61" t="s">
        <v>160</v>
      </c>
      <c r="G42" s="10" t="s">
        <v>1704</v>
      </c>
      <c r="H42" s="10" t="n">
        <v>20103230</v>
      </c>
      <c r="I42" s="10" t="n">
        <v>572039</v>
      </c>
      <c r="J42" s="10" t="n">
        <v>6462</v>
      </c>
      <c r="K42" s="10" t="s">
        <v>22</v>
      </c>
      <c r="L42" s="10"/>
      <c r="M42" s="11" t="s">
        <v>1627</v>
      </c>
      <c r="N42" s="24" t="n">
        <v>45881</v>
      </c>
      <c r="O42" s="25" t="n">
        <f aca="false">INT((N42-D42)/365.25)</f>
        <v>47</v>
      </c>
      <c r="P42" s="12" t="s">
        <v>22</v>
      </c>
    </row>
    <row r="43" customFormat="false" ht="15" hidden="false" customHeight="false" outlineLevel="0" collapsed="false">
      <c r="A43" s="51" t="n">
        <v>39</v>
      </c>
      <c r="B43" s="10" t="n">
        <v>874003</v>
      </c>
      <c r="C43" s="10" t="s">
        <v>1867</v>
      </c>
      <c r="D43" s="60" t="n">
        <v>35557</v>
      </c>
      <c r="E43" s="10" t="s">
        <v>1586</v>
      </c>
      <c r="F43" s="61" t="s">
        <v>160</v>
      </c>
      <c r="G43" s="10" t="s">
        <v>1868</v>
      </c>
      <c r="H43" s="10" t="s">
        <v>1869</v>
      </c>
      <c r="I43" s="10" t="n">
        <v>1451644</v>
      </c>
      <c r="J43" s="10" t="n">
        <v>50</v>
      </c>
      <c r="K43" s="10" t="s">
        <v>22</v>
      </c>
      <c r="L43" s="10"/>
      <c r="M43" s="11" t="s">
        <v>1627</v>
      </c>
      <c r="N43" s="24" t="n">
        <v>45881</v>
      </c>
      <c r="O43" s="25" t="n">
        <f aca="false">INT((N43-D43)/365.25)</f>
        <v>28</v>
      </c>
      <c r="P43" s="12" t="s">
        <v>22</v>
      </c>
    </row>
    <row r="44" customFormat="false" ht="15" hidden="false" customHeight="false" outlineLevel="0" collapsed="false">
      <c r="A44" s="51" t="n">
        <v>40</v>
      </c>
      <c r="B44" s="10" t="n">
        <v>874470</v>
      </c>
      <c r="C44" s="59" t="s">
        <v>1705</v>
      </c>
      <c r="D44" s="60" t="n">
        <v>34237</v>
      </c>
      <c r="E44" s="10" t="s">
        <v>1586</v>
      </c>
      <c r="F44" s="61" t="s">
        <v>160</v>
      </c>
      <c r="G44" s="10" t="s">
        <v>1706</v>
      </c>
      <c r="H44" s="10" t="s">
        <v>1707</v>
      </c>
      <c r="I44" s="10" t="n">
        <v>1130422</v>
      </c>
      <c r="J44" s="10" t="n">
        <v>5429</v>
      </c>
      <c r="K44" s="10" t="s">
        <v>22</v>
      </c>
      <c r="L44" s="10"/>
      <c r="M44" s="11" t="s">
        <v>1627</v>
      </c>
      <c r="N44" s="24" t="n">
        <v>45881</v>
      </c>
      <c r="O44" s="25" t="n">
        <f aca="false">INT((N44-D44)/365.25)</f>
        <v>31</v>
      </c>
      <c r="P44" s="12" t="s">
        <v>22</v>
      </c>
    </row>
    <row r="45" customFormat="false" ht="15" hidden="false" customHeight="false" outlineLevel="0" collapsed="false">
      <c r="A45" s="51" t="n">
        <v>41</v>
      </c>
      <c r="B45" s="10" t="n">
        <v>851492</v>
      </c>
      <c r="C45" s="59" t="s">
        <v>1708</v>
      </c>
      <c r="D45" s="60" t="n">
        <v>31506</v>
      </c>
      <c r="E45" s="10" t="s">
        <v>1586</v>
      </c>
      <c r="F45" s="61" t="s">
        <v>160</v>
      </c>
      <c r="G45" s="10" t="s">
        <v>1709</v>
      </c>
      <c r="H45" s="10" t="s">
        <v>1710</v>
      </c>
      <c r="I45" s="10" t="n">
        <v>87724</v>
      </c>
      <c r="J45" s="10" t="n">
        <v>23</v>
      </c>
      <c r="K45" s="10" t="s">
        <v>22</v>
      </c>
      <c r="L45" s="10"/>
      <c r="M45" s="11" t="s">
        <v>1627</v>
      </c>
      <c r="N45" s="24" t="n">
        <v>45881</v>
      </c>
      <c r="O45" s="25" t="n">
        <f aca="false">INT((N45-D45)/365.25)</f>
        <v>39</v>
      </c>
      <c r="P45" s="12" t="s">
        <v>22</v>
      </c>
    </row>
    <row r="46" customFormat="false" ht="15" hidden="false" customHeight="false" outlineLevel="0" collapsed="false">
      <c r="A46" s="51" t="n">
        <v>42</v>
      </c>
      <c r="B46" s="10" t="n">
        <v>863229</v>
      </c>
      <c r="C46" s="59" t="s">
        <v>1711</v>
      </c>
      <c r="D46" s="60" t="n">
        <v>31948</v>
      </c>
      <c r="E46" s="10" t="s">
        <v>1586</v>
      </c>
      <c r="F46" s="61" t="s">
        <v>160</v>
      </c>
      <c r="G46" s="10" t="s">
        <v>1712</v>
      </c>
      <c r="H46" s="10" t="s">
        <v>1713</v>
      </c>
      <c r="I46" s="10" t="n">
        <v>751845</v>
      </c>
      <c r="J46" s="10" t="n">
        <v>4424</v>
      </c>
      <c r="K46" s="10" t="s">
        <v>22</v>
      </c>
      <c r="L46" s="10"/>
      <c r="M46" s="11" t="s">
        <v>1627</v>
      </c>
      <c r="N46" s="24" t="n">
        <v>45881</v>
      </c>
      <c r="O46" s="25" t="n">
        <f aca="false">INT((N46-D46)/365.25)</f>
        <v>38</v>
      </c>
      <c r="P46" s="12" t="s">
        <v>22</v>
      </c>
    </row>
    <row r="47" customFormat="false" ht="15" hidden="false" customHeight="false" outlineLevel="0" collapsed="false">
      <c r="A47" s="51" t="n">
        <v>43</v>
      </c>
      <c r="B47" s="10" t="n">
        <v>851498</v>
      </c>
      <c r="C47" s="10" t="s">
        <v>1870</v>
      </c>
      <c r="D47" s="60" t="n">
        <v>38239</v>
      </c>
      <c r="E47" s="10" t="s">
        <v>1586</v>
      </c>
      <c r="F47" s="61" t="s">
        <v>160</v>
      </c>
      <c r="G47" s="10" t="s">
        <v>1871</v>
      </c>
      <c r="H47" s="10" t="s">
        <v>1872</v>
      </c>
      <c r="I47" s="10" t="n">
        <v>1531217</v>
      </c>
      <c r="J47" s="10" t="n">
        <v>7458</v>
      </c>
      <c r="K47" s="10" t="s">
        <v>22</v>
      </c>
      <c r="L47" s="10"/>
      <c r="M47" s="11" t="s">
        <v>1627</v>
      </c>
      <c r="N47" s="24" t="n">
        <v>45881</v>
      </c>
      <c r="O47" s="25" t="n">
        <f aca="false">INT((N47-D47)/365.25)</f>
        <v>20</v>
      </c>
      <c r="P47" s="12" t="s">
        <v>22</v>
      </c>
    </row>
    <row r="48" customFormat="false" ht="15" hidden="false" customHeight="false" outlineLevel="0" collapsed="false">
      <c r="A48" s="51" t="n">
        <v>44</v>
      </c>
      <c r="B48" s="10" t="n">
        <v>851774</v>
      </c>
      <c r="C48" s="59" t="s">
        <v>1714</v>
      </c>
      <c r="D48" s="60" t="n">
        <v>36803</v>
      </c>
      <c r="E48" s="10" t="s">
        <v>1586</v>
      </c>
      <c r="F48" s="61" t="s">
        <v>160</v>
      </c>
      <c r="G48" s="10" t="s">
        <v>1715</v>
      </c>
      <c r="H48" s="10" t="n">
        <v>4516393</v>
      </c>
      <c r="I48" s="10" t="n">
        <v>7211515</v>
      </c>
      <c r="J48" s="10" t="n">
        <v>4495</v>
      </c>
      <c r="K48" s="10" t="s">
        <v>2</v>
      </c>
      <c r="L48" s="10"/>
      <c r="M48" s="11" t="s">
        <v>1627</v>
      </c>
      <c r="N48" s="24" t="n">
        <v>45881</v>
      </c>
      <c r="O48" s="25" t="n">
        <f aca="false">INT((N48-D48)/365.25)</f>
        <v>24</v>
      </c>
      <c r="P48" s="12" t="s">
        <v>22</v>
      </c>
    </row>
    <row r="49" customFormat="false" ht="15" hidden="false" customHeight="false" outlineLevel="0" collapsed="false">
      <c r="A49" s="51" t="n">
        <v>45</v>
      </c>
      <c r="B49" s="10" t="n">
        <v>851501</v>
      </c>
      <c r="C49" s="59" t="s">
        <v>1716</v>
      </c>
      <c r="D49" s="60" t="n">
        <v>31930</v>
      </c>
      <c r="E49" s="10" t="s">
        <v>1586</v>
      </c>
      <c r="F49" s="61" t="s">
        <v>160</v>
      </c>
      <c r="G49" s="10" t="s">
        <v>1717</v>
      </c>
      <c r="H49" s="10" t="s">
        <v>1718</v>
      </c>
      <c r="I49" s="10" t="n">
        <v>87908</v>
      </c>
      <c r="J49" s="10" t="n">
        <v>23</v>
      </c>
      <c r="K49" s="10" t="s">
        <v>22</v>
      </c>
      <c r="L49" s="10"/>
      <c r="M49" s="11" t="s">
        <v>1627</v>
      </c>
      <c r="N49" s="24" t="n">
        <v>45881</v>
      </c>
      <c r="O49" s="25" t="n">
        <f aca="false">INT((N49-D49)/365.25)</f>
        <v>38</v>
      </c>
      <c r="P49" s="12" t="s">
        <v>22</v>
      </c>
    </row>
    <row r="50" customFormat="false" ht="15" hidden="false" customHeight="false" outlineLevel="0" collapsed="false">
      <c r="A50" s="51" t="n">
        <v>46</v>
      </c>
      <c r="B50" s="10" t="n">
        <v>874403</v>
      </c>
      <c r="C50" s="59" t="s">
        <v>1719</v>
      </c>
      <c r="D50" s="60" t="n">
        <v>32947</v>
      </c>
      <c r="E50" s="10" t="s">
        <v>1538</v>
      </c>
      <c r="F50" s="61" t="s">
        <v>160</v>
      </c>
      <c r="G50" s="10" t="s">
        <v>1720</v>
      </c>
      <c r="H50" s="10" t="s">
        <v>1721</v>
      </c>
      <c r="I50" s="10" t="n">
        <v>4034143</v>
      </c>
      <c r="J50" s="10" t="n">
        <v>3802</v>
      </c>
      <c r="K50" s="10" t="s">
        <v>22</v>
      </c>
      <c r="L50" s="10"/>
      <c r="M50" s="11" t="s">
        <v>1627</v>
      </c>
      <c r="N50" s="24" t="n">
        <v>45881</v>
      </c>
      <c r="O50" s="25" t="n">
        <f aca="false">INT((N50-D50)/365.25)</f>
        <v>35</v>
      </c>
      <c r="P50" s="12" t="s">
        <v>22</v>
      </c>
    </row>
    <row r="51" customFormat="false" ht="15" hidden="false" customHeight="false" outlineLevel="0" collapsed="false">
      <c r="A51" s="51" t="n">
        <v>47</v>
      </c>
      <c r="B51" s="10" t="n">
        <v>851503</v>
      </c>
      <c r="C51" s="10" t="s">
        <v>1873</v>
      </c>
      <c r="D51" s="60" t="n">
        <v>35799</v>
      </c>
      <c r="E51" s="10" t="s">
        <v>1538</v>
      </c>
      <c r="F51" s="61" t="s">
        <v>160</v>
      </c>
      <c r="G51" s="10" t="s">
        <v>1874</v>
      </c>
      <c r="H51" s="10" t="s">
        <v>1875</v>
      </c>
      <c r="I51" s="10" t="n">
        <v>1586875</v>
      </c>
      <c r="J51" s="10" t="n">
        <v>8403</v>
      </c>
      <c r="K51" s="10" t="s">
        <v>22</v>
      </c>
      <c r="L51" s="10"/>
      <c r="M51" s="11" t="s">
        <v>1627</v>
      </c>
      <c r="N51" s="24" t="n">
        <v>45881</v>
      </c>
      <c r="O51" s="25" t="n">
        <f aca="false">INT((N51-D51)/365.25)</f>
        <v>27</v>
      </c>
      <c r="P51" s="12" t="s">
        <v>22</v>
      </c>
    </row>
    <row r="52" customFormat="false" ht="15" hidden="false" customHeight="false" outlineLevel="0" collapsed="false">
      <c r="A52" s="51" t="n">
        <v>48</v>
      </c>
      <c r="B52" s="10" t="n">
        <v>851558</v>
      </c>
      <c r="C52" s="10" t="s">
        <v>1876</v>
      </c>
      <c r="D52" s="60" t="n">
        <v>31400</v>
      </c>
      <c r="E52" s="10" t="s">
        <v>1586</v>
      </c>
      <c r="F52" s="61" t="s">
        <v>160</v>
      </c>
      <c r="G52" s="10" t="s">
        <v>1877</v>
      </c>
      <c r="H52" s="10" t="s">
        <v>1878</v>
      </c>
      <c r="I52" s="10" t="n">
        <v>612812</v>
      </c>
      <c r="J52" s="10" t="n">
        <v>490</v>
      </c>
      <c r="K52" s="10" t="s">
        <v>22</v>
      </c>
      <c r="L52" s="10"/>
      <c r="M52" s="11" t="s">
        <v>1627</v>
      </c>
      <c r="N52" s="24" t="n">
        <v>45881</v>
      </c>
      <c r="O52" s="25" t="n">
        <f aca="false">INT((N52-D52)/365.25)</f>
        <v>39</v>
      </c>
      <c r="P52" s="12" t="s">
        <v>22</v>
      </c>
    </row>
    <row r="53" customFormat="false" ht="15" hidden="false" customHeight="false" outlineLevel="0" collapsed="false">
      <c r="A53" s="51" t="n">
        <v>49</v>
      </c>
      <c r="B53" s="10" t="n">
        <v>874558</v>
      </c>
      <c r="C53" s="59" t="s">
        <v>1722</v>
      </c>
      <c r="D53" s="60" t="n">
        <v>36672</v>
      </c>
      <c r="E53" s="10" t="s">
        <v>1538</v>
      </c>
      <c r="F53" s="61" t="s">
        <v>160</v>
      </c>
      <c r="G53" s="10" t="s">
        <v>1723</v>
      </c>
      <c r="H53" s="10" t="s">
        <v>1724</v>
      </c>
      <c r="I53" s="10" t="n">
        <v>1290044</v>
      </c>
      <c r="J53" s="10" t="n">
        <v>408</v>
      </c>
      <c r="K53" s="10" t="s">
        <v>22</v>
      </c>
      <c r="L53" s="10"/>
      <c r="M53" s="11" t="s">
        <v>1627</v>
      </c>
      <c r="N53" s="24" t="n">
        <v>45881</v>
      </c>
      <c r="O53" s="25" t="n">
        <f aca="false">INT((N53-D53)/365.25)</f>
        <v>25</v>
      </c>
      <c r="P53" s="12" t="s">
        <v>22</v>
      </c>
    </row>
    <row r="54" customFormat="false" ht="15" hidden="false" customHeight="false" outlineLevel="0" collapsed="false">
      <c r="A54" s="51" t="n">
        <v>50</v>
      </c>
      <c r="B54" s="10" t="n">
        <v>874691</v>
      </c>
      <c r="C54" s="59" t="s">
        <v>1725</v>
      </c>
      <c r="D54" s="60" t="n">
        <v>38737</v>
      </c>
      <c r="E54" s="10" t="s">
        <v>1586</v>
      </c>
      <c r="F54" s="61" t="s">
        <v>160</v>
      </c>
      <c r="G54" s="10" t="s">
        <v>1726</v>
      </c>
      <c r="H54" s="10" t="s">
        <v>1727</v>
      </c>
      <c r="I54" s="10" t="n">
        <v>1528437</v>
      </c>
      <c r="J54" s="10" t="n">
        <v>4460</v>
      </c>
      <c r="K54" s="10" t="s">
        <v>22</v>
      </c>
      <c r="L54" s="10"/>
      <c r="M54" s="11" t="s">
        <v>1627</v>
      </c>
      <c r="N54" s="24" t="n">
        <v>45881</v>
      </c>
      <c r="O54" s="25" t="n">
        <f aca="false">INT((N54-D54)/365.25)</f>
        <v>19</v>
      </c>
      <c r="P54" s="12" t="s">
        <v>22</v>
      </c>
    </row>
    <row r="55" customFormat="false" ht="15" hidden="false" customHeight="false" outlineLevel="0" collapsed="false">
      <c r="A55" s="51" t="n">
        <v>51</v>
      </c>
      <c r="B55" s="10" t="n">
        <v>874479</v>
      </c>
      <c r="C55" s="59" t="s">
        <v>1728</v>
      </c>
      <c r="D55" s="60" t="n">
        <v>38220</v>
      </c>
      <c r="E55" s="10" t="s">
        <v>1538</v>
      </c>
      <c r="F55" s="61" t="s">
        <v>160</v>
      </c>
      <c r="G55" s="10" t="s">
        <v>1729</v>
      </c>
      <c r="H55" s="10" t="s">
        <v>1730</v>
      </c>
      <c r="I55" s="10" t="n">
        <v>1291804</v>
      </c>
      <c r="J55" s="10" t="n">
        <v>1459</v>
      </c>
      <c r="K55" s="10" t="s">
        <v>22</v>
      </c>
      <c r="L55" s="10"/>
      <c r="M55" s="11" t="s">
        <v>1627</v>
      </c>
      <c r="N55" s="24" t="n">
        <v>45881</v>
      </c>
      <c r="O55" s="25" t="n">
        <f aca="false">INT((N55-D55)/365.25)</f>
        <v>20</v>
      </c>
      <c r="P55" s="12" t="s">
        <v>22</v>
      </c>
    </row>
    <row r="56" customFormat="false" ht="15" hidden="false" customHeight="false" outlineLevel="0" collapsed="false">
      <c r="A56" s="51" t="n">
        <v>52</v>
      </c>
      <c r="B56" s="10" t="n">
        <v>851734</v>
      </c>
      <c r="C56" s="59" t="s">
        <v>1731</v>
      </c>
      <c r="D56" s="60" t="n">
        <v>33732</v>
      </c>
      <c r="E56" s="10" t="s">
        <v>1586</v>
      </c>
      <c r="F56" s="61" t="s">
        <v>160</v>
      </c>
      <c r="G56" s="10" t="s">
        <v>1732</v>
      </c>
      <c r="H56" s="10" t="s">
        <v>1733</v>
      </c>
      <c r="I56" s="10" t="n">
        <v>917191</v>
      </c>
      <c r="J56" s="10" t="n">
        <v>9430</v>
      </c>
      <c r="K56" s="10" t="s">
        <v>22</v>
      </c>
      <c r="L56" s="10"/>
      <c r="M56" s="11" t="s">
        <v>1627</v>
      </c>
      <c r="N56" s="24" t="n">
        <v>45881</v>
      </c>
      <c r="O56" s="25" t="n">
        <f aca="false">INT((N56-D56)/365.25)</f>
        <v>33</v>
      </c>
      <c r="P56" s="12" t="s">
        <v>22</v>
      </c>
    </row>
  </sheetData>
  <autoFilter ref="K1:K51"/>
  <mergeCells count="1">
    <mergeCell ref="A1:P2"/>
  </mergeCells>
  <conditionalFormatting sqref="O5:O56">
    <cfRule type="colorScale" priority="2">
      <colorScale>
        <cfvo type="num" val="17"/>
        <cfvo type="num" val="18"/>
        <color rgb="FFFF0000"/>
        <color rgb="FF92D050"/>
      </colorScale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true"/>
  </sheetPr>
  <dimension ref="A1:Q4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28" activeCellId="0" sqref="E28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6.86"/>
    <col collapsed="false" customWidth="true" hidden="false" outlineLevel="0" max="3" min="3" style="0" width="36.29"/>
    <col collapsed="false" customWidth="true" hidden="false" outlineLevel="0" max="4" min="4" style="0" width="9"/>
    <col collapsed="false" customWidth="true" hidden="false" outlineLevel="0" max="5" min="5" style="0" width="21.57"/>
    <col collapsed="false" customWidth="true" hidden="false" outlineLevel="0" max="6" min="6" style="0" width="6.43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10" min="9" style="0" width="7.72"/>
    <col collapsed="false" customWidth="true" hidden="false" outlineLevel="0" max="11" min="11" style="0" width="7.57"/>
    <col collapsed="false" customWidth="true" hidden="true" outlineLevel="0" max="12" min="12" style="0" width="8.29"/>
    <col collapsed="false" customWidth="true" hidden="false" outlineLevel="0" max="13" min="13" style="0" width="18.29"/>
    <col collapsed="false" customWidth="true" hidden="false" outlineLevel="0" max="14" min="14" style="0" width="9.14"/>
    <col collapsed="false" customWidth="true" hidden="false" outlineLevel="0" max="15" min="15" style="0" width="5.71"/>
    <col collapsed="false" customWidth="true" hidden="false" outlineLevel="0" max="16" min="16" style="0" width="9.43"/>
    <col collapsed="false" customWidth="true" hidden="true" outlineLevel="0" max="17" min="17" style="0" width="10.43"/>
  </cols>
  <sheetData>
    <row r="1" customFormat="false" ht="15" hidden="false" customHeight="false" outlineLevel="0" collapsed="false">
      <c r="A1" s="58" t="s">
        <v>1535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</row>
    <row r="2" customFormat="false" ht="15" hidden="false" customHeight="false" outlineLevel="0" collapsed="false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</row>
    <row r="3" customFormat="false" ht="15" hidden="false" customHeight="false" outlineLevel="0" collapsed="false">
      <c r="A3" s="43"/>
      <c r="B3" s="44" t="s">
        <v>1</v>
      </c>
      <c r="C3" s="44" t="s">
        <v>2</v>
      </c>
      <c r="D3" s="44" t="s">
        <v>3</v>
      </c>
      <c r="E3" s="44" t="s">
        <v>4</v>
      </c>
      <c r="F3" s="44" t="s">
        <v>5</v>
      </c>
      <c r="G3" s="45" t="s">
        <v>6</v>
      </c>
      <c r="H3" s="44" t="s">
        <v>7</v>
      </c>
      <c r="I3" s="44" t="s">
        <v>8</v>
      </c>
      <c r="J3" s="44" t="s">
        <v>9</v>
      </c>
      <c r="K3" s="44" t="s">
        <v>10</v>
      </c>
      <c r="L3" s="44" t="s">
        <v>1101</v>
      </c>
      <c r="M3" s="44" t="s">
        <v>11</v>
      </c>
      <c r="N3" s="44" t="s">
        <v>12</v>
      </c>
      <c r="O3" s="44" t="s">
        <v>13</v>
      </c>
      <c r="P3" s="44" t="s">
        <v>16</v>
      </c>
    </row>
    <row r="4" customFormat="false" ht="15" hidden="false" customHeight="false" outlineLevel="0" collapsed="false">
      <c r="A4" s="46"/>
      <c r="B4" s="47"/>
      <c r="C4" s="44" t="s">
        <v>1879</v>
      </c>
      <c r="D4" s="48"/>
      <c r="E4" s="47"/>
      <c r="F4" s="47"/>
      <c r="G4" s="47"/>
      <c r="H4" s="47"/>
      <c r="I4" s="47"/>
      <c r="J4" s="47"/>
      <c r="K4" s="47"/>
      <c r="L4" s="47"/>
      <c r="M4" s="49"/>
      <c r="N4" s="50"/>
      <c r="O4" s="44"/>
      <c r="P4" s="44"/>
    </row>
    <row r="5" customFormat="false" ht="15" hidden="false" customHeight="false" outlineLevel="0" collapsed="false">
      <c r="A5" s="51" t="n">
        <v>1</v>
      </c>
      <c r="B5" s="10" t="n">
        <v>862161</v>
      </c>
      <c r="C5" s="59" t="s">
        <v>1537</v>
      </c>
      <c r="D5" s="60" t="n">
        <v>28894</v>
      </c>
      <c r="E5" s="10" t="s">
        <v>1538</v>
      </c>
      <c r="F5" s="10" t="s">
        <v>160</v>
      </c>
      <c r="G5" s="10" t="s">
        <v>1539</v>
      </c>
      <c r="H5" s="10" t="s">
        <v>1540</v>
      </c>
      <c r="I5" s="10" t="n">
        <v>537110</v>
      </c>
      <c r="J5" s="10" t="n">
        <v>6405</v>
      </c>
      <c r="K5" s="10" t="s">
        <v>30</v>
      </c>
      <c r="L5" s="10"/>
      <c r="M5" s="11" t="s">
        <v>1541</v>
      </c>
      <c r="N5" s="24" t="n">
        <v>45873</v>
      </c>
      <c r="O5" s="25" t="n">
        <f aca="false">INT((N5-D5)/365.25)</f>
        <v>46</v>
      </c>
      <c r="P5" s="12" t="s">
        <v>22</v>
      </c>
    </row>
    <row r="6" customFormat="false" ht="15" hidden="false" customHeight="false" outlineLevel="0" collapsed="false">
      <c r="A6" s="51" t="n">
        <v>2</v>
      </c>
      <c r="B6" s="10" t="n">
        <v>851590</v>
      </c>
      <c r="C6" s="59" t="s">
        <v>1542</v>
      </c>
      <c r="D6" s="60" t="n">
        <v>31683</v>
      </c>
      <c r="E6" s="10" t="s">
        <v>1538</v>
      </c>
      <c r="F6" s="10" t="s">
        <v>160</v>
      </c>
      <c r="G6" s="10" t="s">
        <v>1543</v>
      </c>
      <c r="H6" s="10" t="s">
        <v>1544</v>
      </c>
      <c r="I6" s="10" t="n">
        <v>1063247</v>
      </c>
      <c r="J6" s="10" t="n">
        <v>1441</v>
      </c>
      <c r="K6" s="10" t="s">
        <v>22</v>
      </c>
      <c r="L6" s="10"/>
      <c r="M6" s="11" t="s">
        <v>1541</v>
      </c>
      <c r="N6" s="24" t="n">
        <v>45873</v>
      </c>
      <c r="O6" s="25" t="n">
        <f aca="false">INT((N6-D6)/365.25)</f>
        <v>38</v>
      </c>
      <c r="P6" s="12" t="s">
        <v>22</v>
      </c>
    </row>
    <row r="7" customFormat="false" ht="15" hidden="false" customHeight="false" outlineLevel="0" collapsed="false">
      <c r="A7" s="51" t="n">
        <v>3</v>
      </c>
      <c r="B7" s="10" t="n">
        <v>874328</v>
      </c>
      <c r="C7" s="59" t="s">
        <v>1545</v>
      </c>
      <c r="D7" s="60" t="n">
        <v>37779</v>
      </c>
      <c r="E7" s="10" t="s">
        <v>1538</v>
      </c>
      <c r="F7" s="10" t="s">
        <v>160</v>
      </c>
      <c r="G7" s="10" t="s">
        <v>1546</v>
      </c>
      <c r="H7" s="10" t="s">
        <v>1547</v>
      </c>
      <c r="I7" s="10" t="n">
        <v>1100080</v>
      </c>
      <c r="J7" s="10" t="n">
        <v>8483</v>
      </c>
      <c r="K7" s="10" t="s">
        <v>30</v>
      </c>
      <c r="L7" s="10"/>
      <c r="M7" s="11" t="s">
        <v>1541</v>
      </c>
      <c r="N7" s="24" t="n">
        <v>45873</v>
      </c>
      <c r="O7" s="25" t="n">
        <f aca="false">INT((N7-D7)/365.25)</f>
        <v>22</v>
      </c>
      <c r="P7" s="12" t="s">
        <v>22</v>
      </c>
    </row>
    <row r="8" customFormat="false" ht="15" hidden="false" customHeight="false" outlineLevel="0" collapsed="false">
      <c r="A8" s="51" t="n">
        <v>4</v>
      </c>
      <c r="B8" s="10" t="n">
        <v>851595</v>
      </c>
      <c r="C8" s="10" t="s">
        <v>1880</v>
      </c>
      <c r="D8" s="60" t="n">
        <v>24874</v>
      </c>
      <c r="E8" s="10" t="s">
        <v>1538</v>
      </c>
      <c r="F8" s="10" t="s">
        <v>160</v>
      </c>
      <c r="G8" s="10" t="s">
        <v>1881</v>
      </c>
      <c r="H8" s="10" t="n">
        <v>1379141</v>
      </c>
      <c r="I8" s="10" t="n">
        <v>9584282</v>
      </c>
      <c r="J8" s="10" t="n">
        <v>9487</v>
      </c>
      <c r="K8" s="10" t="s">
        <v>22</v>
      </c>
      <c r="L8" s="10"/>
      <c r="M8" s="11" t="s">
        <v>1541</v>
      </c>
      <c r="N8" s="24" t="n">
        <v>45873</v>
      </c>
      <c r="O8" s="25" t="n">
        <f aca="false">INT((N8-D8)/365.25)</f>
        <v>57</v>
      </c>
      <c r="P8" s="12" t="s">
        <v>22</v>
      </c>
    </row>
    <row r="9" customFormat="false" ht="15" hidden="false" customHeight="false" outlineLevel="0" collapsed="false">
      <c r="A9" s="51" t="n">
        <v>5</v>
      </c>
      <c r="B9" s="10" t="n">
        <v>874330</v>
      </c>
      <c r="C9" s="59" t="s">
        <v>1548</v>
      </c>
      <c r="D9" s="60" t="n">
        <v>37224</v>
      </c>
      <c r="E9" s="10" t="s">
        <v>1538</v>
      </c>
      <c r="F9" s="10" t="s">
        <v>160</v>
      </c>
      <c r="G9" s="10" t="s">
        <v>1549</v>
      </c>
      <c r="H9" s="10" t="s">
        <v>1550</v>
      </c>
      <c r="I9" s="10" t="n">
        <v>1401584</v>
      </c>
      <c r="J9" s="10" t="n">
        <v>470</v>
      </c>
      <c r="K9" s="10" t="s">
        <v>22</v>
      </c>
      <c r="L9" s="10"/>
      <c r="M9" s="11" t="s">
        <v>1541</v>
      </c>
      <c r="N9" s="24" t="n">
        <v>45873</v>
      </c>
      <c r="O9" s="25" t="n">
        <f aca="false">INT((N9-D9)/365.25)</f>
        <v>23</v>
      </c>
      <c r="P9" s="12" t="s">
        <v>22</v>
      </c>
    </row>
    <row r="10" customFormat="false" ht="15" hidden="false" customHeight="false" outlineLevel="0" collapsed="false">
      <c r="A10" s="51" t="n">
        <v>6</v>
      </c>
      <c r="B10" s="10" t="n">
        <v>862183</v>
      </c>
      <c r="C10" s="59" t="s">
        <v>1551</v>
      </c>
      <c r="D10" s="60" t="n">
        <v>32637</v>
      </c>
      <c r="E10" s="10" t="s">
        <v>1538</v>
      </c>
      <c r="F10" s="10" t="s">
        <v>160</v>
      </c>
      <c r="G10" s="10" t="s">
        <v>1552</v>
      </c>
      <c r="H10" s="10" t="s">
        <v>1553</v>
      </c>
      <c r="I10" s="10" t="n">
        <v>65201</v>
      </c>
      <c r="J10" s="10" t="n">
        <v>27</v>
      </c>
      <c r="K10" s="10" t="s">
        <v>22</v>
      </c>
      <c r="L10" s="10"/>
      <c r="M10" s="11" t="s">
        <v>1541</v>
      </c>
      <c r="N10" s="24" t="n">
        <v>45873</v>
      </c>
      <c r="O10" s="25" t="n">
        <f aca="false">INT((N10-D10)/365.25)</f>
        <v>36</v>
      </c>
      <c r="P10" s="12" t="s">
        <v>22</v>
      </c>
    </row>
    <row r="11" customFormat="false" ht="15" hidden="false" customHeight="false" outlineLevel="0" collapsed="false">
      <c r="A11" s="51" t="n">
        <v>7</v>
      </c>
      <c r="B11" s="10" t="n">
        <v>874331</v>
      </c>
      <c r="C11" s="59" t="s">
        <v>1554</v>
      </c>
      <c r="D11" s="60" t="n">
        <v>30818</v>
      </c>
      <c r="E11" s="10" t="s">
        <v>1538</v>
      </c>
      <c r="F11" s="10" t="s">
        <v>160</v>
      </c>
      <c r="G11" s="10" t="s">
        <v>1555</v>
      </c>
      <c r="H11" s="10" t="s">
        <v>1556</v>
      </c>
      <c r="I11" s="10" t="n">
        <v>609274</v>
      </c>
      <c r="J11" s="10" t="n">
        <v>7405</v>
      </c>
      <c r="K11" s="10" t="s">
        <v>30</v>
      </c>
      <c r="L11" s="10"/>
      <c r="M11" s="11" t="s">
        <v>1541</v>
      </c>
      <c r="N11" s="24" t="n">
        <v>45873</v>
      </c>
      <c r="O11" s="25" t="n">
        <f aca="false">INT((N11-D11)/365.25)</f>
        <v>41</v>
      </c>
      <c r="P11" s="12" t="s">
        <v>22</v>
      </c>
    </row>
    <row r="12" customFormat="false" ht="15" hidden="false" customHeight="false" outlineLevel="0" collapsed="false">
      <c r="A12" s="51" t="n">
        <v>8</v>
      </c>
      <c r="B12" s="10" t="n">
        <v>874334</v>
      </c>
      <c r="C12" s="59" t="s">
        <v>1557</v>
      </c>
      <c r="D12" s="60" t="n">
        <v>33827</v>
      </c>
      <c r="E12" s="10" t="s">
        <v>1538</v>
      </c>
      <c r="F12" s="10" t="s">
        <v>160</v>
      </c>
      <c r="G12" s="10" t="s">
        <v>1558</v>
      </c>
      <c r="H12" s="10" t="s">
        <v>1559</v>
      </c>
      <c r="I12" s="10" t="n">
        <v>540119</v>
      </c>
      <c r="J12" s="10" t="n">
        <v>7500</v>
      </c>
      <c r="K12" s="10" t="s">
        <v>22</v>
      </c>
      <c r="L12" s="10"/>
      <c r="M12" s="11" t="s">
        <v>1541</v>
      </c>
      <c r="N12" s="24" t="n">
        <v>45873</v>
      </c>
      <c r="O12" s="25" t="n">
        <f aca="false">INT((N12-D12)/365.25)</f>
        <v>32</v>
      </c>
      <c r="P12" s="12" t="s">
        <v>22</v>
      </c>
    </row>
    <row r="13" customFormat="false" ht="15" hidden="false" customHeight="false" outlineLevel="0" collapsed="false">
      <c r="A13" s="51" t="n">
        <v>9</v>
      </c>
      <c r="B13" s="10" t="n">
        <v>874335</v>
      </c>
      <c r="C13" s="59" t="s">
        <v>1882</v>
      </c>
      <c r="D13" s="60" t="n">
        <v>36323</v>
      </c>
      <c r="E13" s="10" t="s">
        <v>1538</v>
      </c>
      <c r="F13" s="10" t="s">
        <v>160</v>
      </c>
      <c r="G13" s="10" t="s">
        <v>1883</v>
      </c>
      <c r="H13" s="10" t="s">
        <v>1884</v>
      </c>
      <c r="I13" s="10" t="n">
        <v>7131036</v>
      </c>
      <c r="J13" s="10" t="n">
        <v>4478</v>
      </c>
      <c r="K13" s="10" t="s">
        <v>1483</v>
      </c>
      <c r="L13" s="10"/>
      <c r="M13" s="11" t="s">
        <v>1541</v>
      </c>
      <c r="N13" s="24" t="n">
        <v>45873</v>
      </c>
      <c r="O13" s="25" t="n">
        <f aca="false">INT((N13-D13)/365.25)</f>
        <v>26</v>
      </c>
      <c r="P13" s="12" t="s">
        <v>22</v>
      </c>
    </row>
    <row r="14" customFormat="false" ht="15" hidden="false" customHeight="false" outlineLevel="0" collapsed="false">
      <c r="A14" s="51" t="n">
        <v>10</v>
      </c>
      <c r="B14" s="10" t="n">
        <v>861680</v>
      </c>
      <c r="C14" s="59" t="s">
        <v>1885</v>
      </c>
      <c r="D14" s="60" t="n">
        <v>38343</v>
      </c>
      <c r="E14" s="10" t="s">
        <v>1538</v>
      </c>
      <c r="F14" s="10" t="s">
        <v>160</v>
      </c>
      <c r="G14" s="10" t="s">
        <v>1886</v>
      </c>
      <c r="H14" s="10" t="s">
        <v>1887</v>
      </c>
      <c r="I14" s="10" t="n">
        <v>1419649</v>
      </c>
      <c r="J14" s="10" t="n">
        <v>8418</v>
      </c>
      <c r="K14" s="10" t="s">
        <v>1509</v>
      </c>
      <c r="L14" s="10"/>
      <c r="M14" s="11" t="s">
        <v>1541</v>
      </c>
      <c r="N14" s="24" t="n">
        <v>45873</v>
      </c>
      <c r="O14" s="25" t="n">
        <f aca="false">INT((N14-D14)/365.25)</f>
        <v>20</v>
      </c>
      <c r="P14" s="12" t="s">
        <v>22</v>
      </c>
    </row>
    <row r="15" customFormat="false" ht="15" hidden="false" customHeight="false" outlineLevel="0" collapsed="false">
      <c r="A15" s="51" t="n">
        <v>11</v>
      </c>
      <c r="B15" s="10" t="n">
        <v>862202</v>
      </c>
      <c r="C15" s="59" t="s">
        <v>1560</v>
      </c>
      <c r="D15" s="60" t="n">
        <v>38405</v>
      </c>
      <c r="E15" s="10" t="s">
        <v>1538</v>
      </c>
      <c r="F15" s="10" t="s">
        <v>160</v>
      </c>
      <c r="G15" s="10" t="s">
        <v>1561</v>
      </c>
      <c r="H15" s="10" t="s">
        <v>1562</v>
      </c>
      <c r="I15" s="10" t="n">
        <v>1524423</v>
      </c>
      <c r="J15" s="10" t="n">
        <v>6458</v>
      </c>
      <c r="K15" s="10" t="s">
        <v>22</v>
      </c>
      <c r="L15" s="10"/>
      <c r="M15" s="11" t="s">
        <v>1541</v>
      </c>
      <c r="N15" s="24" t="n">
        <v>45873</v>
      </c>
      <c r="O15" s="25" t="n">
        <f aca="false">INT((N15-D15)/365.25)</f>
        <v>20</v>
      </c>
      <c r="P15" s="12" t="s">
        <v>22</v>
      </c>
    </row>
    <row r="16" customFormat="false" ht="15" hidden="false" customHeight="false" outlineLevel="0" collapsed="false">
      <c r="A16" s="51" t="n">
        <v>12</v>
      </c>
      <c r="B16" s="10" t="n">
        <v>861682</v>
      </c>
      <c r="C16" s="59" t="s">
        <v>1563</v>
      </c>
      <c r="D16" s="60" t="n">
        <v>38809</v>
      </c>
      <c r="E16" s="10" t="s">
        <v>1538</v>
      </c>
      <c r="F16" s="10" t="s">
        <v>160</v>
      </c>
      <c r="G16" s="10" t="s">
        <v>1564</v>
      </c>
      <c r="H16" s="10" t="s">
        <v>1565</v>
      </c>
      <c r="I16" s="10" t="n">
        <v>1051141</v>
      </c>
      <c r="J16" s="10" t="n">
        <v>9589</v>
      </c>
      <c r="K16" s="10" t="s">
        <v>1483</v>
      </c>
      <c r="L16" s="10"/>
      <c r="M16" s="11" t="s">
        <v>1541</v>
      </c>
      <c r="N16" s="24" t="n">
        <v>45873</v>
      </c>
      <c r="O16" s="25" t="n">
        <f aca="false">INT((N16-D16)/365.25)</f>
        <v>19</v>
      </c>
      <c r="P16" s="12" t="s">
        <v>22</v>
      </c>
    </row>
    <row r="17" customFormat="false" ht="15" hidden="false" customHeight="false" outlineLevel="0" collapsed="false">
      <c r="A17" s="51" t="n">
        <v>13</v>
      </c>
      <c r="B17" s="10" t="n">
        <v>874337</v>
      </c>
      <c r="C17" s="59" t="s">
        <v>1566</v>
      </c>
      <c r="D17" s="60" t="n">
        <v>33006</v>
      </c>
      <c r="E17" s="10" t="s">
        <v>1538</v>
      </c>
      <c r="F17" s="10" t="s">
        <v>160</v>
      </c>
      <c r="G17" s="10" t="s">
        <v>1567</v>
      </c>
      <c r="H17" s="10" t="s">
        <v>1568</v>
      </c>
      <c r="I17" s="10" t="n">
        <v>943320</v>
      </c>
      <c r="J17" s="10" t="n">
        <v>1490</v>
      </c>
      <c r="K17" s="10" t="s">
        <v>30</v>
      </c>
      <c r="L17" s="10"/>
      <c r="M17" s="11" t="s">
        <v>1541</v>
      </c>
      <c r="N17" s="24" t="n">
        <v>45873</v>
      </c>
      <c r="O17" s="25" t="n">
        <f aca="false">INT((N17-D17)/365.25)</f>
        <v>35</v>
      </c>
      <c r="P17" s="12" t="s">
        <v>22</v>
      </c>
    </row>
    <row r="18" customFormat="false" ht="15" hidden="false" customHeight="false" outlineLevel="0" collapsed="false">
      <c r="A18" s="51" t="n">
        <v>14</v>
      </c>
      <c r="B18" s="10" t="n">
        <v>851602</v>
      </c>
      <c r="C18" s="59" t="s">
        <v>1569</v>
      </c>
      <c r="D18" s="60" t="n">
        <v>30959</v>
      </c>
      <c r="E18" s="10" t="s">
        <v>1538</v>
      </c>
      <c r="F18" s="10" t="s">
        <v>160</v>
      </c>
      <c r="G18" s="10" t="s">
        <v>1570</v>
      </c>
      <c r="H18" s="10" t="s">
        <v>1571</v>
      </c>
      <c r="I18" s="10" t="n">
        <v>622866</v>
      </c>
      <c r="J18" s="10" t="n">
        <v>8420</v>
      </c>
      <c r="K18" s="10" t="s">
        <v>2</v>
      </c>
      <c r="L18" s="10"/>
      <c r="M18" s="11" t="s">
        <v>1541</v>
      </c>
      <c r="N18" s="24" t="n">
        <v>45873</v>
      </c>
      <c r="O18" s="25" t="n">
        <f aca="false">INT((N18-D18)/365.25)</f>
        <v>40</v>
      </c>
      <c r="P18" s="12" t="s">
        <v>22</v>
      </c>
    </row>
    <row r="19" customFormat="false" ht="15" hidden="false" customHeight="false" outlineLevel="0" collapsed="false">
      <c r="A19" s="51" t="n">
        <v>15</v>
      </c>
      <c r="B19" s="10" t="n">
        <v>874340</v>
      </c>
      <c r="C19" s="59" t="s">
        <v>1888</v>
      </c>
      <c r="D19" s="60" t="n">
        <v>36230</v>
      </c>
      <c r="E19" s="10" t="s">
        <v>1538</v>
      </c>
      <c r="F19" s="10" t="s">
        <v>160</v>
      </c>
      <c r="G19" s="10" t="s">
        <v>1889</v>
      </c>
      <c r="H19" s="10" t="s">
        <v>1890</v>
      </c>
      <c r="I19" s="10" t="n">
        <v>7035560</v>
      </c>
      <c r="J19" s="10" t="n">
        <v>9479</v>
      </c>
      <c r="K19" s="10" t="s">
        <v>1509</v>
      </c>
      <c r="L19" s="10"/>
      <c r="M19" s="11" t="s">
        <v>1541</v>
      </c>
      <c r="N19" s="24" t="n">
        <v>45873</v>
      </c>
      <c r="O19" s="25" t="n">
        <f aca="false">INT((N19-D19)/365.25)</f>
        <v>26</v>
      </c>
      <c r="P19" s="12" t="s">
        <v>22</v>
      </c>
    </row>
    <row r="20" customFormat="false" ht="15" hidden="false" customHeight="false" outlineLevel="0" collapsed="false">
      <c r="A20" s="51" t="n">
        <v>16</v>
      </c>
      <c r="B20" s="10" t="n">
        <v>874344</v>
      </c>
      <c r="C20" s="59" t="s">
        <v>1572</v>
      </c>
      <c r="D20" s="60" t="n">
        <v>39074</v>
      </c>
      <c r="E20" s="10" t="s">
        <v>1538</v>
      </c>
      <c r="F20" s="10" t="s">
        <v>160</v>
      </c>
      <c r="G20" s="10" t="s">
        <v>1573</v>
      </c>
      <c r="H20" s="10" t="s">
        <v>1574</v>
      </c>
      <c r="I20" s="10" t="n">
        <v>1505505</v>
      </c>
      <c r="J20" s="10" t="n">
        <v>4450</v>
      </c>
      <c r="K20" s="10" t="s">
        <v>30</v>
      </c>
      <c r="L20" s="10"/>
      <c r="M20" s="11" t="s">
        <v>1541</v>
      </c>
      <c r="N20" s="24" t="n">
        <v>45873</v>
      </c>
      <c r="O20" s="25" t="n">
        <f aca="false">INT((N20-D20)/365.25)</f>
        <v>18</v>
      </c>
      <c r="P20" s="12" t="s">
        <v>22</v>
      </c>
      <c r="Q20" s="0" t="s">
        <v>16</v>
      </c>
    </row>
    <row r="21" customFormat="false" ht="15" hidden="false" customHeight="false" outlineLevel="0" collapsed="false">
      <c r="A21" s="51" t="n">
        <v>17</v>
      </c>
      <c r="B21" s="10" t="n">
        <v>874345</v>
      </c>
      <c r="C21" s="59" t="s">
        <v>1891</v>
      </c>
      <c r="D21" s="60" t="n">
        <v>36165</v>
      </c>
      <c r="E21" s="10" t="s">
        <v>1538</v>
      </c>
      <c r="F21" s="10" t="s">
        <v>160</v>
      </c>
      <c r="G21" s="10" t="s">
        <v>1892</v>
      </c>
      <c r="H21" s="10" t="s">
        <v>1893</v>
      </c>
      <c r="I21" s="10" t="n">
        <v>7130507</v>
      </c>
      <c r="J21" s="10" t="n">
        <v>4467</v>
      </c>
      <c r="K21" s="10" t="s">
        <v>22</v>
      </c>
      <c r="L21" s="10"/>
      <c r="M21" s="11" t="s">
        <v>1541</v>
      </c>
      <c r="N21" s="24" t="n">
        <v>45873</v>
      </c>
      <c r="O21" s="25" t="n">
        <f aca="false">INT((N21-D21)/365.25)</f>
        <v>26</v>
      </c>
      <c r="P21" s="12" t="s">
        <v>22</v>
      </c>
    </row>
    <row r="22" customFormat="false" ht="15" hidden="false" customHeight="false" outlineLevel="0" collapsed="false">
      <c r="A22" s="51" t="n">
        <v>18</v>
      </c>
      <c r="B22" s="10" t="n">
        <v>874346</v>
      </c>
      <c r="C22" s="59" t="s">
        <v>1575</v>
      </c>
      <c r="D22" s="60" t="n">
        <v>39176</v>
      </c>
      <c r="E22" s="10" t="s">
        <v>1538</v>
      </c>
      <c r="F22" s="10" t="s">
        <v>160</v>
      </c>
      <c r="G22" s="10" t="s">
        <v>1576</v>
      </c>
      <c r="H22" s="10" t="s">
        <v>1577</v>
      </c>
      <c r="I22" s="10" t="n">
        <v>1501512</v>
      </c>
      <c r="J22" s="10" t="n">
        <v>6417</v>
      </c>
      <c r="K22" s="10" t="s">
        <v>30</v>
      </c>
      <c r="L22" s="10"/>
      <c r="M22" s="11" t="s">
        <v>1541</v>
      </c>
      <c r="N22" s="24" t="n">
        <v>45873</v>
      </c>
      <c r="O22" s="25" t="n">
        <f aca="false">INT((N22-D22)/365.25)</f>
        <v>18</v>
      </c>
      <c r="P22" s="12" t="s">
        <v>22</v>
      </c>
    </row>
    <row r="23" customFormat="false" ht="15" hidden="false" customHeight="false" outlineLevel="0" collapsed="false">
      <c r="A23" s="51" t="n">
        <v>19</v>
      </c>
      <c r="B23" s="10" t="n">
        <v>851592</v>
      </c>
      <c r="C23" s="59" t="s">
        <v>1578</v>
      </c>
      <c r="D23" s="60" t="n">
        <v>37160</v>
      </c>
      <c r="E23" s="10" t="s">
        <v>1538</v>
      </c>
      <c r="F23" s="10" t="s">
        <v>160</v>
      </c>
      <c r="G23" s="10" t="s">
        <v>1579</v>
      </c>
      <c r="H23" s="10" t="s">
        <v>1580</v>
      </c>
      <c r="I23" s="10" t="n">
        <v>1505887</v>
      </c>
      <c r="J23" s="10" t="n">
        <v>6400</v>
      </c>
      <c r="K23" s="10" t="s">
        <v>22</v>
      </c>
      <c r="L23" s="10"/>
      <c r="M23" s="11" t="s">
        <v>1541</v>
      </c>
      <c r="N23" s="24" t="n">
        <v>45873</v>
      </c>
      <c r="O23" s="25" t="n">
        <f aca="false">INT((N23-D23)/365.25)</f>
        <v>23</v>
      </c>
      <c r="P23" s="12" t="s">
        <v>22</v>
      </c>
    </row>
    <row r="24" customFormat="false" ht="15" hidden="false" customHeight="false" outlineLevel="0" collapsed="false">
      <c r="A24" s="51" t="n">
        <v>20</v>
      </c>
      <c r="B24" s="10" t="n">
        <v>874348</v>
      </c>
      <c r="C24" s="59" t="s">
        <v>1581</v>
      </c>
      <c r="D24" s="60" t="n">
        <v>36400</v>
      </c>
      <c r="E24" s="10" t="s">
        <v>1538</v>
      </c>
      <c r="F24" s="10" t="s">
        <v>160</v>
      </c>
      <c r="G24" s="10" t="s">
        <v>1582</v>
      </c>
      <c r="H24" s="10" t="n">
        <v>41307690</v>
      </c>
      <c r="I24" s="10" t="n">
        <v>4283488</v>
      </c>
      <c r="J24" s="10" t="n">
        <v>50</v>
      </c>
      <c r="K24" s="10" t="s">
        <v>22</v>
      </c>
      <c r="L24" s="10"/>
      <c r="M24" s="11" t="s">
        <v>1541</v>
      </c>
      <c r="N24" s="24" t="n">
        <v>45873</v>
      </c>
      <c r="O24" s="25" t="n">
        <f aca="false">INT((N24-D24)/365.25)</f>
        <v>25</v>
      </c>
      <c r="P24" s="12" t="s">
        <v>22</v>
      </c>
    </row>
    <row r="25" customFormat="false" ht="15" hidden="false" customHeight="false" outlineLevel="0" collapsed="false">
      <c r="A25" s="51" t="n">
        <v>21</v>
      </c>
      <c r="B25" s="10" t="n">
        <v>862193</v>
      </c>
      <c r="C25" s="59" t="s">
        <v>1583</v>
      </c>
      <c r="D25" s="60" t="n">
        <v>27876</v>
      </c>
      <c r="E25" s="10" t="s">
        <v>1538</v>
      </c>
      <c r="F25" s="10" t="s">
        <v>160</v>
      </c>
      <c r="G25" s="10" t="s">
        <v>1584</v>
      </c>
      <c r="H25" s="10" t="n">
        <v>1942423</v>
      </c>
      <c r="I25" s="10" t="n">
        <v>403568</v>
      </c>
      <c r="J25" s="10" t="n">
        <v>1458</v>
      </c>
      <c r="K25" s="10" t="s">
        <v>22</v>
      </c>
      <c r="L25" s="10"/>
      <c r="M25" s="11" t="s">
        <v>1541</v>
      </c>
      <c r="N25" s="24" t="n">
        <v>45873</v>
      </c>
      <c r="O25" s="25" t="n">
        <f aca="false">INT((N25-D25)/365.25)</f>
        <v>49</v>
      </c>
      <c r="P25" s="12" t="s">
        <v>22</v>
      </c>
    </row>
    <row r="26" customFormat="false" ht="15" hidden="false" customHeight="false" outlineLevel="0" collapsed="false">
      <c r="A26" s="51" t="n">
        <v>22</v>
      </c>
      <c r="B26" s="10" t="n">
        <v>851646</v>
      </c>
      <c r="C26" s="59" t="s">
        <v>1585</v>
      </c>
      <c r="D26" s="60" t="n">
        <v>33248</v>
      </c>
      <c r="E26" s="10" t="s">
        <v>1586</v>
      </c>
      <c r="F26" s="10" t="s">
        <v>160</v>
      </c>
      <c r="G26" s="10" t="s">
        <v>1587</v>
      </c>
      <c r="H26" s="10" t="s">
        <v>1588</v>
      </c>
      <c r="I26" s="10" t="n">
        <v>65240</v>
      </c>
      <c r="J26" s="10" t="n">
        <v>27</v>
      </c>
      <c r="K26" s="10" t="s">
        <v>30</v>
      </c>
      <c r="L26" s="10"/>
      <c r="M26" s="11" t="s">
        <v>1541</v>
      </c>
      <c r="N26" s="24" t="n">
        <v>45873</v>
      </c>
      <c r="O26" s="25" t="n">
        <f aca="false">INT((N26-D26)/365.25)</f>
        <v>34</v>
      </c>
      <c r="P26" s="12" t="s">
        <v>22</v>
      </c>
    </row>
    <row r="27" customFormat="false" ht="15" hidden="false" customHeight="false" outlineLevel="0" collapsed="false">
      <c r="A27" s="51" t="n">
        <v>23</v>
      </c>
      <c r="B27" s="10" t="n">
        <v>874354</v>
      </c>
      <c r="C27" s="59" t="s">
        <v>1589</v>
      </c>
      <c r="D27" s="60" t="n">
        <v>39128</v>
      </c>
      <c r="E27" s="10" t="s">
        <v>1586</v>
      </c>
      <c r="F27" s="10" t="s">
        <v>160</v>
      </c>
      <c r="G27" s="10" t="s">
        <v>1590</v>
      </c>
      <c r="H27" s="10" t="n">
        <v>45024829</v>
      </c>
      <c r="I27" s="10" t="n">
        <v>1228677</v>
      </c>
      <c r="J27" s="10" t="n">
        <v>2479</v>
      </c>
      <c r="K27" s="10" t="s">
        <v>22</v>
      </c>
      <c r="L27" s="10"/>
      <c r="M27" s="11" t="s">
        <v>1541</v>
      </c>
      <c r="N27" s="24" t="n">
        <v>45873</v>
      </c>
      <c r="O27" s="25" t="n">
        <f aca="false">INT((N27-D27)/365.25)</f>
        <v>18</v>
      </c>
      <c r="P27" s="12" t="s">
        <v>22</v>
      </c>
    </row>
    <row r="28" customFormat="false" ht="15" hidden="false" customHeight="false" outlineLevel="0" collapsed="false">
      <c r="A28" s="51" t="n">
        <v>24</v>
      </c>
      <c r="B28" s="10" t="n">
        <v>862186</v>
      </c>
      <c r="C28" s="59" t="s">
        <v>1591</v>
      </c>
      <c r="D28" s="60" t="n">
        <v>30099</v>
      </c>
      <c r="E28" s="10" t="s">
        <v>1586</v>
      </c>
      <c r="F28" s="10" t="s">
        <v>160</v>
      </c>
      <c r="G28" s="10" t="s">
        <v>1592</v>
      </c>
      <c r="H28" s="10" t="s">
        <v>1593</v>
      </c>
      <c r="I28" s="10" t="n">
        <v>922212</v>
      </c>
      <c r="J28" s="10" t="n">
        <v>2445</v>
      </c>
      <c r="K28" s="10" t="s">
        <v>22</v>
      </c>
      <c r="L28" s="10"/>
      <c r="M28" s="11" t="s">
        <v>1541</v>
      </c>
      <c r="N28" s="24" t="n">
        <v>45873</v>
      </c>
      <c r="O28" s="25" t="n">
        <f aca="false">INT((N28-D28)/365.25)</f>
        <v>43</v>
      </c>
      <c r="P28" s="12" t="s">
        <v>22</v>
      </c>
    </row>
    <row r="29" customFormat="false" ht="15" hidden="false" customHeight="false" outlineLevel="0" collapsed="false">
      <c r="A29" s="51" t="n">
        <v>25</v>
      </c>
      <c r="B29" s="10" t="n">
        <v>862744</v>
      </c>
      <c r="C29" s="59" t="s">
        <v>1594</v>
      </c>
      <c r="D29" s="60" t="n">
        <v>38796</v>
      </c>
      <c r="E29" s="10" t="s">
        <v>1586</v>
      </c>
      <c r="F29" s="10" t="s">
        <v>160</v>
      </c>
      <c r="G29" s="10" t="s">
        <v>1595</v>
      </c>
      <c r="H29" s="10" t="n">
        <v>45103096</v>
      </c>
      <c r="I29" s="10" t="n">
        <v>1138411</v>
      </c>
      <c r="J29" s="10" t="n">
        <v>9493</v>
      </c>
      <c r="K29" s="10" t="s">
        <v>1509</v>
      </c>
      <c r="L29" s="10"/>
      <c r="M29" s="11" t="s">
        <v>1541</v>
      </c>
      <c r="N29" s="24" t="n">
        <v>45873</v>
      </c>
      <c r="O29" s="25" t="n">
        <f aca="false">INT((N29-D29)/365.25)</f>
        <v>19</v>
      </c>
      <c r="P29" s="12" t="s">
        <v>22</v>
      </c>
    </row>
    <row r="30" customFormat="false" ht="15" hidden="false" customHeight="false" outlineLevel="0" collapsed="false">
      <c r="A30" s="51" t="n">
        <v>26</v>
      </c>
      <c r="B30" s="10" t="n">
        <v>874408</v>
      </c>
      <c r="C30" s="59" t="s">
        <v>1596</v>
      </c>
      <c r="D30" s="60" t="n">
        <v>31917</v>
      </c>
      <c r="E30" s="10" t="s">
        <v>1586</v>
      </c>
      <c r="F30" s="10" t="s">
        <v>160</v>
      </c>
      <c r="G30" s="10" t="s">
        <v>1597</v>
      </c>
      <c r="H30" s="10" t="s">
        <v>1598</v>
      </c>
      <c r="I30" s="10" t="n">
        <v>802165</v>
      </c>
      <c r="J30" s="10" t="n">
        <v>6484</v>
      </c>
      <c r="K30" s="10" t="s">
        <v>30</v>
      </c>
      <c r="L30" s="10"/>
      <c r="M30" s="11" t="s">
        <v>1541</v>
      </c>
      <c r="N30" s="24" t="n">
        <v>45873</v>
      </c>
      <c r="O30" s="25" t="n">
        <f aca="false">INT((N30-D30)/365.25)</f>
        <v>38</v>
      </c>
      <c r="P30" s="12" t="s">
        <v>22</v>
      </c>
    </row>
    <row r="31" customFormat="false" ht="15" hidden="false" customHeight="false" outlineLevel="0" collapsed="false">
      <c r="A31" s="51" t="n">
        <v>27</v>
      </c>
      <c r="B31" s="10" t="n">
        <v>851654</v>
      </c>
      <c r="C31" s="10" t="s">
        <v>1894</v>
      </c>
      <c r="D31" s="60" t="n">
        <v>36804</v>
      </c>
      <c r="E31" s="10" t="s">
        <v>1586</v>
      </c>
      <c r="F31" s="10" t="s">
        <v>160</v>
      </c>
      <c r="G31" s="10" t="s">
        <v>1895</v>
      </c>
      <c r="H31" s="10" t="s">
        <v>1896</v>
      </c>
      <c r="I31" s="10" t="n">
        <v>1505764</v>
      </c>
      <c r="J31" s="10" t="n">
        <v>8403</v>
      </c>
      <c r="K31" s="10" t="s">
        <v>30</v>
      </c>
      <c r="L31" s="10"/>
      <c r="M31" s="11" t="s">
        <v>1541</v>
      </c>
      <c r="N31" s="24" t="n">
        <v>45873</v>
      </c>
      <c r="O31" s="25" t="n">
        <f aca="false">INT((N31-D31)/365.25)</f>
        <v>24</v>
      </c>
      <c r="P31" s="12" t="s">
        <v>22</v>
      </c>
    </row>
    <row r="32" customFormat="false" ht="15" hidden="false" customHeight="false" outlineLevel="0" collapsed="false">
      <c r="A32" s="51" t="n">
        <v>28</v>
      </c>
      <c r="B32" s="10" t="n">
        <v>862156</v>
      </c>
      <c r="C32" s="59" t="s">
        <v>1599</v>
      </c>
      <c r="D32" s="60" t="n">
        <v>38672</v>
      </c>
      <c r="E32" s="10" t="s">
        <v>1586</v>
      </c>
      <c r="F32" s="10" t="s">
        <v>160</v>
      </c>
      <c r="G32" s="10" t="s">
        <v>1600</v>
      </c>
      <c r="H32" s="10" t="n">
        <v>45221335</v>
      </c>
      <c r="I32" s="10" t="n">
        <v>1384379</v>
      </c>
      <c r="J32" s="10" t="n">
        <v>3476</v>
      </c>
      <c r="K32" s="10" t="s">
        <v>22</v>
      </c>
      <c r="L32" s="10"/>
      <c r="M32" s="11" t="s">
        <v>1541</v>
      </c>
      <c r="N32" s="24" t="n">
        <v>45873</v>
      </c>
      <c r="O32" s="25" t="n">
        <f aca="false">INT((N32-D32)/365.25)</f>
        <v>19</v>
      </c>
      <c r="P32" s="12" t="s">
        <v>22</v>
      </c>
    </row>
    <row r="33" customFormat="false" ht="15" hidden="false" customHeight="false" outlineLevel="0" collapsed="false">
      <c r="A33" s="51" t="n">
        <v>29</v>
      </c>
      <c r="B33" s="52" t="n">
        <v>851656</v>
      </c>
      <c r="C33" s="52" t="s">
        <v>1897</v>
      </c>
      <c r="D33" s="60" t="n">
        <v>31215</v>
      </c>
      <c r="E33" s="10" t="s">
        <v>1586</v>
      </c>
      <c r="F33" s="10" t="s">
        <v>160</v>
      </c>
      <c r="G33" s="10" t="s">
        <v>1898</v>
      </c>
      <c r="H33" s="10" t="s">
        <v>1899</v>
      </c>
      <c r="I33" s="10" t="n">
        <v>613576</v>
      </c>
      <c r="J33" s="10" t="n">
        <v>9421</v>
      </c>
      <c r="K33" s="10" t="s">
        <v>22</v>
      </c>
      <c r="L33" s="10"/>
      <c r="M33" s="11" t="s">
        <v>1541</v>
      </c>
      <c r="N33" s="24" t="n">
        <v>45873</v>
      </c>
      <c r="O33" s="25" t="n">
        <f aca="false">INT((N33-D33)/365.25)</f>
        <v>40</v>
      </c>
      <c r="P33" s="12" t="s">
        <v>22</v>
      </c>
    </row>
    <row r="34" customFormat="false" ht="15" hidden="false" customHeight="false" outlineLevel="0" collapsed="false">
      <c r="A34" s="51" t="n">
        <v>30</v>
      </c>
      <c r="B34" s="10" t="n">
        <v>863213</v>
      </c>
      <c r="C34" s="59" t="s">
        <v>1900</v>
      </c>
      <c r="D34" s="60" t="n">
        <v>28249</v>
      </c>
      <c r="E34" s="10" t="s">
        <v>1586</v>
      </c>
      <c r="F34" s="10" t="s">
        <v>160</v>
      </c>
      <c r="G34" s="10" t="s">
        <v>1901</v>
      </c>
      <c r="H34" s="10" t="n">
        <v>1887626</v>
      </c>
      <c r="I34" s="10" t="n">
        <v>428247</v>
      </c>
      <c r="J34" s="10" t="n">
        <v>5471</v>
      </c>
      <c r="K34" s="10" t="s">
        <v>22</v>
      </c>
      <c r="L34" s="10"/>
      <c r="M34" s="11" t="s">
        <v>1541</v>
      </c>
      <c r="N34" s="24" t="n">
        <v>45873</v>
      </c>
      <c r="O34" s="25" t="n">
        <f aca="false">INT((N34-D34)/365.25)</f>
        <v>48</v>
      </c>
      <c r="P34" s="12" t="s">
        <v>22</v>
      </c>
    </row>
    <row r="35" customFormat="false" ht="15" hidden="false" customHeight="false" outlineLevel="0" collapsed="false">
      <c r="A35" s="51" t="n">
        <v>31</v>
      </c>
      <c r="B35" s="10" t="n">
        <v>874411</v>
      </c>
      <c r="C35" s="59" t="s">
        <v>1601</v>
      </c>
      <c r="D35" s="60" t="n">
        <v>33384</v>
      </c>
      <c r="E35" s="10" t="s">
        <v>1586</v>
      </c>
      <c r="F35" s="10" t="s">
        <v>160</v>
      </c>
      <c r="G35" s="10" t="s">
        <v>1602</v>
      </c>
      <c r="H35" s="10" t="s">
        <v>1603</v>
      </c>
      <c r="I35" s="10" t="n">
        <v>1065582</v>
      </c>
      <c r="J35" s="10" t="n">
        <v>5444</v>
      </c>
      <c r="K35" s="10" t="s">
        <v>30</v>
      </c>
      <c r="L35" s="10"/>
      <c r="M35" s="11" t="s">
        <v>1541</v>
      </c>
      <c r="N35" s="24" t="n">
        <v>45873</v>
      </c>
      <c r="O35" s="25" t="n">
        <f aca="false">INT((N35-D35)/365.25)</f>
        <v>34</v>
      </c>
      <c r="P35" s="12" t="s">
        <v>22</v>
      </c>
    </row>
    <row r="36" customFormat="false" ht="15" hidden="false" customHeight="false" outlineLevel="0" collapsed="false">
      <c r="A36" s="51" t="n">
        <v>32</v>
      </c>
      <c r="B36" s="10" t="n">
        <v>851612</v>
      </c>
      <c r="C36" s="59" t="s">
        <v>1604</v>
      </c>
      <c r="D36" s="60" t="n">
        <v>38319</v>
      </c>
      <c r="E36" s="10" t="s">
        <v>1586</v>
      </c>
      <c r="F36" s="10" t="s">
        <v>160</v>
      </c>
      <c r="G36" s="10" t="s">
        <v>1605</v>
      </c>
      <c r="H36" s="10" t="n">
        <v>45146249</v>
      </c>
      <c r="I36" s="10" t="n">
        <v>1490182</v>
      </c>
      <c r="J36" s="10" t="n">
        <v>6409</v>
      </c>
      <c r="K36" s="10" t="s">
        <v>1483</v>
      </c>
      <c r="L36" s="10"/>
      <c r="M36" s="11" t="s">
        <v>1541</v>
      </c>
      <c r="N36" s="24" t="n">
        <v>45873</v>
      </c>
      <c r="O36" s="25" t="n">
        <f aca="false">INT((N36-D36)/365.25)</f>
        <v>20</v>
      </c>
      <c r="P36" s="12" t="s">
        <v>22</v>
      </c>
    </row>
    <row r="37" customFormat="false" ht="15" hidden="false" customHeight="false" outlineLevel="0" collapsed="false">
      <c r="A37" s="51" t="n">
        <v>33</v>
      </c>
      <c r="B37" s="10" t="n">
        <v>851615</v>
      </c>
      <c r="C37" s="59" t="s">
        <v>1606</v>
      </c>
      <c r="D37" s="60" t="n">
        <v>34213</v>
      </c>
      <c r="E37" s="10" t="s">
        <v>1586</v>
      </c>
      <c r="F37" s="10" t="s">
        <v>160</v>
      </c>
      <c r="G37" s="10" t="s">
        <v>1607</v>
      </c>
      <c r="H37" s="10" t="s">
        <v>1608</v>
      </c>
      <c r="I37" s="10" t="n">
        <v>1059645</v>
      </c>
      <c r="J37" s="10" t="n">
        <v>9436</v>
      </c>
      <c r="K37" s="10" t="s">
        <v>30</v>
      </c>
      <c r="L37" s="10"/>
      <c r="M37" s="11" t="s">
        <v>1541</v>
      </c>
      <c r="N37" s="24" t="n">
        <v>45873</v>
      </c>
      <c r="O37" s="25" t="n">
        <f aca="false">INT((N37-D37)/365.25)</f>
        <v>31</v>
      </c>
      <c r="P37" s="12" t="s">
        <v>22</v>
      </c>
    </row>
    <row r="38" customFormat="false" ht="15" hidden="false" customHeight="false" outlineLevel="0" collapsed="false">
      <c r="A38" s="51" t="n">
        <v>34</v>
      </c>
      <c r="B38" s="10" t="n">
        <v>874414</v>
      </c>
      <c r="C38" s="59" t="s">
        <v>1609</v>
      </c>
      <c r="D38" s="60" t="n">
        <v>39210</v>
      </c>
      <c r="E38" s="10" t="s">
        <v>1586</v>
      </c>
      <c r="F38" s="10" t="s">
        <v>160</v>
      </c>
      <c r="G38" s="10" t="s">
        <v>1610</v>
      </c>
      <c r="H38" s="10" t="s">
        <v>1611</v>
      </c>
      <c r="I38" s="10" t="n">
        <v>7099833</v>
      </c>
      <c r="J38" s="10" t="n">
        <v>1465</v>
      </c>
      <c r="K38" s="10" t="s">
        <v>22</v>
      </c>
      <c r="L38" s="10"/>
      <c r="M38" s="11" t="s">
        <v>1541</v>
      </c>
      <c r="N38" s="24" t="n">
        <v>45873</v>
      </c>
      <c r="O38" s="25" t="n">
        <f aca="false">INT((N38-D38)/365.25)</f>
        <v>18</v>
      </c>
      <c r="P38" s="12" t="s">
        <v>22</v>
      </c>
    </row>
    <row r="39" customFormat="false" ht="15" hidden="false" customHeight="false" outlineLevel="0" collapsed="false">
      <c r="A39" s="51" t="n">
        <v>35</v>
      </c>
      <c r="B39" s="10" t="n">
        <v>874425</v>
      </c>
      <c r="C39" s="59" t="s">
        <v>1612</v>
      </c>
      <c r="D39" s="60" t="n">
        <v>36884</v>
      </c>
      <c r="E39" s="10" t="s">
        <v>1586</v>
      </c>
      <c r="F39" s="10" t="s">
        <v>160</v>
      </c>
      <c r="G39" s="10" t="s">
        <v>1613</v>
      </c>
      <c r="H39" s="10" t="s">
        <v>1614</v>
      </c>
      <c r="I39" s="10" t="n">
        <v>7109699</v>
      </c>
      <c r="J39" s="10" t="n">
        <v>1454</v>
      </c>
      <c r="K39" s="10" t="s">
        <v>30</v>
      </c>
      <c r="L39" s="10"/>
      <c r="M39" s="11" t="s">
        <v>1541</v>
      </c>
      <c r="N39" s="24" t="n">
        <v>45873</v>
      </c>
      <c r="O39" s="25" t="n">
        <f aca="false">INT((N39-D39)/365.25)</f>
        <v>24</v>
      </c>
      <c r="P39" s="12" t="s">
        <v>22</v>
      </c>
    </row>
    <row r="40" customFormat="false" ht="15" hidden="false" customHeight="false" outlineLevel="0" collapsed="false">
      <c r="A40" s="51" t="n">
        <v>36</v>
      </c>
      <c r="B40" s="10" t="n">
        <v>874416</v>
      </c>
      <c r="C40" s="59" t="s">
        <v>1902</v>
      </c>
      <c r="D40" s="60" t="n">
        <v>35130</v>
      </c>
      <c r="E40" s="10" t="s">
        <v>1586</v>
      </c>
      <c r="F40" s="10" t="s">
        <v>160</v>
      </c>
      <c r="G40" s="10" t="s">
        <v>1903</v>
      </c>
      <c r="H40" s="10" t="s">
        <v>1904</v>
      </c>
      <c r="I40" s="10" t="n">
        <v>7169197</v>
      </c>
      <c r="J40" s="10" t="n">
        <v>5451</v>
      </c>
      <c r="K40" s="10" t="s">
        <v>30</v>
      </c>
      <c r="L40" s="10"/>
      <c r="M40" s="11" t="s">
        <v>1541</v>
      </c>
      <c r="N40" s="24" t="n">
        <v>45873</v>
      </c>
      <c r="O40" s="25" t="n">
        <f aca="false">INT((N40-D40)/365.25)</f>
        <v>29</v>
      </c>
      <c r="P40" s="12" t="s">
        <v>1905</v>
      </c>
    </row>
    <row r="41" customFormat="false" ht="15" hidden="false" customHeight="false" outlineLevel="0" collapsed="false">
      <c r="A41" s="51" t="n">
        <v>37</v>
      </c>
      <c r="B41" s="10" t="n">
        <v>874417</v>
      </c>
      <c r="C41" s="59" t="s">
        <v>1615</v>
      </c>
      <c r="D41" s="60" t="n">
        <v>28162</v>
      </c>
      <c r="E41" s="10" t="s">
        <v>1586</v>
      </c>
      <c r="F41" s="10" t="s">
        <v>160</v>
      </c>
      <c r="G41" s="10" t="s">
        <v>1616</v>
      </c>
      <c r="H41" s="10" t="n">
        <v>1788400</v>
      </c>
      <c r="I41" s="10" t="n">
        <v>489225</v>
      </c>
      <c r="J41" s="10" t="n">
        <v>473</v>
      </c>
      <c r="K41" s="10" t="s">
        <v>22</v>
      </c>
      <c r="L41" s="10"/>
      <c r="M41" s="11" t="s">
        <v>1541</v>
      </c>
      <c r="N41" s="24" t="n">
        <v>45873</v>
      </c>
      <c r="O41" s="25" t="n">
        <f aca="false">INT((N41-D41)/365.25)</f>
        <v>48</v>
      </c>
      <c r="P41" s="12" t="s">
        <v>22</v>
      </c>
    </row>
    <row r="42" customFormat="false" ht="15" hidden="false" customHeight="false" outlineLevel="0" collapsed="false">
      <c r="A42" s="51" t="n">
        <v>38</v>
      </c>
      <c r="B42" s="10" t="n">
        <v>862198</v>
      </c>
      <c r="C42" s="59" t="s">
        <v>1906</v>
      </c>
      <c r="D42" s="60" t="n">
        <v>31653</v>
      </c>
      <c r="E42" s="10" t="s">
        <v>1586</v>
      </c>
      <c r="F42" s="10" t="s">
        <v>160</v>
      </c>
      <c r="G42" s="10" t="s">
        <v>1907</v>
      </c>
      <c r="H42" s="10" t="s">
        <v>1908</v>
      </c>
      <c r="I42" s="10" t="n">
        <v>1019098</v>
      </c>
      <c r="J42" s="10" t="n">
        <v>400</v>
      </c>
      <c r="K42" s="10" t="s">
        <v>22</v>
      </c>
      <c r="L42" s="10"/>
      <c r="M42" s="11" t="s">
        <v>1541</v>
      </c>
      <c r="N42" s="24" t="n">
        <v>45873</v>
      </c>
      <c r="O42" s="25" t="n">
        <f aca="false">INT((N42-D42)/365.25)</f>
        <v>38</v>
      </c>
      <c r="P42" s="12" t="s">
        <v>22</v>
      </c>
    </row>
    <row r="43" customFormat="false" ht="15" hidden="false" customHeight="false" outlineLevel="0" collapsed="false">
      <c r="A43" s="51" t="n">
        <v>39</v>
      </c>
      <c r="B43" s="10" t="n">
        <v>867116</v>
      </c>
      <c r="C43" s="10" t="s">
        <v>1909</v>
      </c>
      <c r="D43" s="60" t="n">
        <v>34891</v>
      </c>
      <c r="E43" s="10" t="s">
        <v>1586</v>
      </c>
      <c r="F43" s="10" t="s">
        <v>160</v>
      </c>
      <c r="G43" s="10" t="s">
        <v>1910</v>
      </c>
      <c r="H43" s="10" t="s">
        <v>1911</v>
      </c>
      <c r="I43" s="10" t="n">
        <v>1236608</v>
      </c>
      <c r="J43" s="10" t="n">
        <v>3483</v>
      </c>
      <c r="K43" s="10" t="s">
        <v>22</v>
      </c>
      <c r="L43" s="10"/>
      <c r="M43" s="11" t="s">
        <v>1541</v>
      </c>
      <c r="N43" s="24" t="n">
        <v>45873</v>
      </c>
      <c r="O43" s="25" t="n">
        <f aca="false">INT((N43-D43)/365.25)</f>
        <v>30</v>
      </c>
      <c r="P43" s="12" t="s">
        <v>22</v>
      </c>
    </row>
    <row r="44" customFormat="false" ht="15" hidden="false" customHeight="false" outlineLevel="0" collapsed="false">
      <c r="A44" s="51" t="n">
        <v>40</v>
      </c>
      <c r="B44" s="10" t="n">
        <v>862158</v>
      </c>
      <c r="C44" s="59" t="s">
        <v>1619</v>
      </c>
      <c r="D44" s="60" t="n">
        <v>36276</v>
      </c>
      <c r="E44" s="10" t="s">
        <v>1586</v>
      </c>
      <c r="F44" s="10" t="s">
        <v>160</v>
      </c>
      <c r="G44" s="10" t="s">
        <v>1620</v>
      </c>
      <c r="H44" s="10" t="s">
        <v>1621</v>
      </c>
      <c r="I44" s="10" t="n">
        <v>606776</v>
      </c>
      <c r="J44" s="10" t="n">
        <v>3540</v>
      </c>
      <c r="K44" s="10" t="s">
        <v>22</v>
      </c>
      <c r="L44" s="10"/>
      <c r="M44" s="11" t="s">
        <v>1541</v>
      </c>
      <c r="N44" s="24" t="n">
        <v>45873</v>
      </c>
      <c r="O44" s="25" t="n">
        <f aca="false">INT((N44-D44)/365.25)</f>
        <v>26</v>
      </c>
      <c r="P44" s="12" t="s">
        <v>22</v>
      </c>
    </row>
    <row r="45" customFormat="false" ht="15" hidden="false" customHeight="false" outlineLevel="0" collapsed="false">
      <c r="A45" s="51" t="n">
        <v>41</v>
      </c>
      <c r="B45" s="10" t="n">
        <v>874423</v>
      </c>
      <c r="C45" s="59" t="s">
        <v>1912</v>
      </c>
      <c r="D45" s="60" t="n">
        <v>35833</v>
      </c>
      <c r="E45" s="10" t="s">
        <v>1586</v>
      </c>
      <c r="F45" s="10" t="s">
        <v>160</v>
      </c>
      <c r="G45" s="10" t="s">
        <v>1913</v>
      </c>
      <c r="H45" s="10" t="s">
        <v>1914</v>
      </c>
      <c r="I45" s="10" t="n">
        <v>1360142</v>
      </c>
      <c r="J45" s="10" t="n">
        <v>5416</v>
      </c>
      <c r="K45" s="10" t="s">
        <v>22</v>
      </c>
      <c r="L45" s="10"/>
      <c r="M45" s="11" t="s">
        <v>1541</v>
      </c>
      <c r="N45" s="24" t="n">
        <v>45873</v>
      </c>
      <c r="O45" s="25" t="n">
        <f aca="false">INT((N45-D45)/365.25)</f>
        <v>27</v>
      </c>
      <c r="P45" s="12" t="s">
        <v>22</v>
      </c>
    </row>
    <row r="46" customFormat="false" ht="15" hidden="false" customHeight="false" outlineLevel="0" collapsed="false">
      <c r="A46" s="51" t="n">
        <v>42</v>
      </c>
      <c r="B46" s="10" t="n">
        <v>862782</v>
      </c>
      <c r="C46" s="10" t="s">
        <v>1915</v>
      </c>
      <c r="D46" s="60" t="n">
        <v>38877</v>
      </c>
      <c r="E46" s="10" t="s">
        <v>1586</v>
      </c>
      <c r="F46" s="10" t="s">
        <v>160</v>
      </c>
      <c r="G46" s="10" t="s">
        <v>1916</v>
      </c>
      <c r="H46" s="10" t="s">
        <v>1917</v>
      </c>
      <c r="I46" s="10" t="n">
        <v>1508095</v>
      </c>
      <c r="J46" s="10" t="n">
        <v>5406</v>
      </c>
      <c r="K46" s="10" t="s">
        <v>30</v>
      </c>
      <c r="L46" s="10"/>
      <c r="M46" s="11" t="s">
        <v>1541</v>
      </c>
      <c r="N46" s="24" t="n">
        <v>45873</v>
      </c>
      <c r="O46" s="25" t="n">
        <f aca="false">INT((N46-D46)/365.25)</f>
        <v>19</v>
      </c>
      <c r="P46" s="12" t="s">
        <v>22</v>
      </c>
    </row>
    <row r="47" customFormat="false" ht="15" hidden="false" customHeight="false" outlineLevel="0" collapsed="false">
      <c r="A47" s="51" t="n">
        <v>43</v>
      </c>
      <c r="B47" s="10" t="n">
        <v>874424</v>
      </c>
      <c r="C47" s="59" t="s">
        <v>1622</v>
      </c>
      <c r="D47" s="60" t="n">
        <v>38460</v>
      </c>
      <c r="E47" s="10" t="s">
        <v>1586</v>
      </c>
      <c r="F47" s="10" t="s">
        <v>160</v>
      </c>
      <c r="G47" s="10" t="s">
        <v>1623</v>
      </c>
      <c r="H47" s="10" t="n">
        <v>45139004</v>
      </c>
      <c r="I47" s="10" t="n">
        <v>1505549</v>
      </c>
      <c r="J47" s="10" t="n">
        <v>8478</v>
      </c>
      <c r="K47" s="10" t="s">
        <v>22</v>
      </c>
      <c r="L47" s="10"/>
      <c r="M47" s="11" t="s">
        <v>1541</v>
      </c>
      <c r="N47" s="24" t="n">
        <v>45873</v>
      </c>
      <c r="O47" s="25" t="n">
        <f aca="false">INT((N47-D47)/365.25)</f>
        <v>20</v>
      </c>
      <c r="P47" s="12" t="s">
        <v>22</v>
      </c>
    </row>
  </sheetData>
  <autoFilter ref="K1:K28"/>
  <mergeCells count="1">
    <mergeCell ref="A1:P2"/>
  </mergeCells>
  <conditionalFormatting sqref="O5:O47">
    <cfRule type="colorScale" priority="2">
      <colorScale>
        <cfvo type="num" val="17"/>
        <cfvo type="num" val="18"/>
        <color rgb="FFFF0000"/>
        <color rgb="FF92D050"/>
      </colorScale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true"/>
  </sheetPr>
  <dimension ref="A1:Q56"/>
  <sheetViews>
    <sheetView showFormulas="false" showGridLines="true" showRowColHeaders="true" showZeros="true" rightToLeft="false" tabSelected="false" showOutlineSymbols="true" defaultGridColor="true" view="normal" topLeftCell="A31" colorId="64" zoomScale="90" zoomScaleNormal="90" zoomScalePageLayoutView="100" workbookViewId="0">
      <selection pane="topLeft" activeCell="C59" activeCellId="0" sqref="C59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6.86"/>
    <col collapsed="false" customWidth="true" hidden="false" outlineLevel="0" max="3" min="3" style="0" width="36.29"/>
    <col collapsed="false" customWidth="true" hidden="false" outlineLevel="0" max="4" min="4" style="0" width="9"/>
    <col collapsed="false" customWidth="true" hidden="false" outlineLevel="0" max="5" min="5" style="0" width="15.86"/>
    <col collapsed="false" customWidth="true" hidden="false" outlineLevel="0" max="6" min="6" style="0" width="6.43"/>
    <col collapsed="false" customWidth="true" hidden="false" outlineLevel="0" max="7" min="7" style="0" width="13"/>
    <col collapsed="false" customWidth="true" hidden="false" outlineLevel="0" max="8" min="8" style="0" width="11.72"/>
    <col collapsed="false" customWidth="true" hidden="false" outlineLevel="0" max="10" min="10" style="0" width="4.86"/>
    <col collapsed="false" customWidth="true" hidden="false" outlineLevel="0" max="11" min="11" style="0" width="5.29"/>
    <col collapsed="false" customWidth="true" hidden="true" outlineLevel="0" max="12" min="12" style="0" width="8.29"/>
    <col collapsed="false" customWidth="true" hidden="false" outlineLevel="0" max="13" min="13" style="0" width="16.86"/>
    <col collapsed="false" customWidth="true" hidden="false" outlineLevel="0" max="14" min="14" style="0" width="9.14"/>
    <col collapsed="false" customWidth="true" hidden="false" outlineLevel="0" max="15" min="15" style="0" width="5.71"/>
    <col collapsed="false" customWidth="true" hidden="false" outlineLevel="0" max="16" min="16" style="0" width="6.29"/>
    <col collapsed="false" customWidth="true" hidden="false" outlineLevel="0" max="17" min="17" style="0" width="10.43"/>
  </cols>
  <sheetData>
    <row r="1" customFormat="false" ht="15" hidden="false" customHeight="false" outlineLevel="0" collapsed="false">
      <c r="A1" s="18" t="s">
        <v>986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customFormat="false" ht="15" hidden="false" customHeight="false" outlineLevel="0" collapsed="false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customFormat="false" ht="15" hidden="false" customHeight="false" outlineLevel="0" collapsed="false">
      <c r="A3" s="43"/>
      <c r="B3" s="44" t="s">
        <v>1</v>
      </c>
      <c r="C3" s="44" t="s">
        <v>2</v>
      </c>
      <c r="D3" s="44" t="s">
        <v>3</v>
      </c>
      <c r="E3" s="44" t="s">
        <v>4</v>
      </c>
      <c r="F3" s="44" t="s">
        <v>5</v>
      </c>
      <c r="G3" s="45" t="s">
        <v>6</v>
      </c>
      <c r="H3" s="44" t="s">
        <v>7</v>
      </c>
      <c r="I3" s="44" t="s">
        <v>8</v>
      </c>
      <c r="J3" s="44" t="s">
        <v>9</v>
      </c>
      <c r="K3" s="44" t="s">
        <v>10</v>
      </c>
      <c r="L3" s="44" t="s">
        <v>1101</v>
      </c>
      <c r="M3" s="44" t="s">
        <v>11</v>
      </c>
      <c r="N3" s="44" t="s">
        <v>12</v>
      </c>
      <c r="O3" s="44" t="s">
        <v>13</v>
      </c>
      <c r="P3" s="44" t="s">
        <v>16</v>
      </c>
    </row>
    <row r="4" customFormat="false" ht="15" hidden="false" customHeight="false" outlineLevel="0" collapsed="false">
      <c r="A4" s="46"/>
      <c r="B4" s="47"/>
      <c r="C4" s="44" t="s">
        <v>987</v>
      </c>
      <c r="D4" s="48"/>
      <c r="E4" s="47"/>
      <c r="F4" s="47"/>
      <c r="G4" s="47"/>
      <c r="H4" s="47"/>
      <c r="I4" s="47"/>
      <c r="J4" s="47"/>
      <c r="K4" s="47"/>
      <c r="L4" s="47"/>
      <c r="M4" s="49"/>
      <c r="N4" s="50"/>
      <c r="O4" s="44"/>
      <c r="P4" s="44"/>
    </row>
    <row r="5" customFormat="false" ht="15" hidden="false" customHeight="false" outlineLevel="0" collapsed="false">
      <c r="A5" s="51" t="n">
        <v>1</v>
      </c>
      <c r="B5" s="10" t="n">
        <v>868335</v>
      </c>
      <c r="C5" s="11" t="s">
        <v>988</v>
      </c>
      <c r="D5" s="12" t="n">
        <v>38313</v>
      </c>
      <c r="E5" s="11" t="s">
        <v>1469</v>
      </c>
      <c r="F5" s="11" t="s">
        <v>151</v>
      </c>
      <c r="G5" s="11" t="s">
        <v>989</v>
      </c>
      <c r="H5" s="11" t="n">
        <v>9660265</v>
      </c>
      <c r="I5" s="11" t="n">
        <v>809583</v>
      </c>
      <c r="J5" s="11" t="n">
        <v>1271</v>
      </c>
      <c r="K5" s="11" t="s">
        <v>30</v>
      </c>
      <c r="L5" s="11"/>
      <c r="M5" s="11" t="s">
        <v>1471</v>
      </c>
      <c r="N5" s="24" t="n">
        <v>45849</v>
      </c>
      <c r="O5" s="25" t="n">
        <f aca="false">INT((N5-D5)/365.25)</f>
        <v>20</v>
      </c>
      <c r="P5" s="12" t="s">
        <v>22</v>
      </c>
    </row>
    <row r="6" customFormat="false" ht="15" hidden="false" customHeight="false" outlineLevel="0" collapsed="false">
      <c r="A6" s="51" t="n">
        <v>2</v>
      </c>
      <c r="B6" s="10"/>
      <c r="C6" s="11" t="s">
        <v>1468</v>
      </c>
      <c r="D6" s="12" t="n">
        <v>32170</v>
      </c>
      <c r="E6" s="11" t="s">
        <v>1469</v>
      </c>
      <c r="F6" s="11" t="s">
        <v>151</v>
      </c>
      <c r="G6" s="11" t="s">
        <v>1470</v>
      </c>
      <c r="H6" s="11" t="n">
        <v>8042544</v>
      </c>
      <c r="I6" s="11" t="n">
        <v>35821</v>
      </c>
      <c r="J6" s="11" t="n">
        <v>85</v>
      </c>
      <c r="K6" s="11" t="s">
        <v>30</v>
      </c>
      <c r="L6" s="11"/>
      <c r="M6" s="11" t="s">
        <v>1471</v>
      </c>
      <c r="N6" s="24" t="n">
        <v>45848</v>
      </c>
      <c r="O6" s="25" t="n">
        <f aca="false">INT((N6-D6)/365.25)</f>
        <v>37</v>
      </c>
      <c r="P6" s="12" t="s">
        <v>22</v>
      </c>
    </row>
    <row r="7" customFormat="false" ht="15" hidden="false" customHeight="false" outlineLevel="0" collapsed="false">
      <c r="A7" s="51" t="n">
        <v>3</v>
      </c>
      <c r="B7" s="10" t="n">
        <v>869596</v>
      </c>
      <c r="C7" s="11" t="s">
        <v>993</v>
      </c>
      <c r="D7" s="12" t="n">
        <v>29109</v>
      </c>
      <c r="E7" s="11" t="s">
        <v>1469</v>
      </c>
      <c r="F7" s="11" t="s">
        <v>151</v>
      </c>
      <c r="G7" s="11" t="s">
        <v>994</v>
      </c>
      <c r="H7" s="11" t="n">
        <v>3403421</v>
      </c>
      <c r="I7" s="11" t="n">
        <v>7353213</v>
      </c>
      <c r="J7" s="11" t="n">
        <v>60</v>
      </c>
      <c r="K7" s="11" t="s">
        <v>22</v>
      </c>
      <c r="L7" s="11"/>
      <c r="M7" s="11" t="s">
        <v>1471</v>
      </c>
      <c r="N7" s="24" t="n">
        <v>45848</v>
      </c>
      <c r="O7" s="25" t="n">
        <f aca="false">INT((N7-D7)/365.25)</f>
        <v>45</v>
      </c>
      <c r="P7" s="12" t="s">
        <v>22</v>
      </c>
    </row>
    <row r="8" customFormat="false" ht="15" hidden="false" customHeight="false" outlineLevel="0" collapsed="false">
      <c r="A8" s="51" t="n">
        <v>4</v>
      </c>
      <c r="B8" s="10"/>
      <c r="C8" s="11" t="s">
        <v>1472</v>
      </c>
      <c r="D8" s="12" t="n">
        <v>35965</v>
      </c>
      <c r="E8" s="11" t="s">
        <v>1469</v>
      </c>
      <c r="F8" s="11" t="s">
        <v>151</v>
      </c>
      <c r="G8" s="11" t="s">
        <v>1473</v>
      </c>
      <c r="H8" s="11" t="n">
        <v>12138462</v>
      </c>
      <c r="I8" s="11" t="n">
        <v>679144</v>
      </c>
      <c r="J8" s="11" t="n">
        <v>7494</v>
      </c>
      <c r="K8" s="11" t="s">
        <v>22</v>
      </c>
      <c r="L8" s="11"/>
      <c r="M8" s="11" t="s">
        <v>1471</v>
      </c>
      <c r="N8" s="24" t="n">
        <v>45848</v>
      </c>
      <c r="O8" s="25" t="n">
        <f aca="false">INT((N8-D8)/365.25)</f>
        <v>27</v>
      </c>
      <c r="P8" s="12" t="s">
        <v>22</v>
      </c>
    </row>
    <row r="9" customFormat="false" ht="15" hidden="false" customHeight="false" outlineLevel="0" collapsed="false">
      <c r="A9" s="51" t="n">
        <v>5</v>
      </c>
      <c r="B9" s="10" t="n">
        <v>849328</v>
      </c>
      <c r="C9" s="11" t="s">
        <v>995</v>
      </c>
      <c r="D9" s="12" t="n">
        <v>33301</v>
      </c>
      <c r="E9" s="11" t="s">
        <v>1469</v>
      </c>
      <c r="F9" s="11" t="s">
        <v>151</v>
      </c>
      <c r="G9" s="11" t="s">
        <v>996</v>
      </c>
      <c r="H9" s="34" t="s">
        <v>997</v>
      </c>
      <c r="I9" s="11" t="n">
        <v>32738</v>
      </c>
      <c r="J9" s="11" t="n">
        <v>33</v>
      </c>
      <c r="K9" s="11" t="s">
        <v>22</v>
      </c>
      <c r="L9" s="11"/>
      <c r="M9" s="11" t="s">
        <v>1471</v>
      </c>
      <c r="N9" s="24" t="n">
        <v>45848</v>
      </c>
      <c r="O9" s="25" t="n">
        <f aca="false">INT((N9-D9)/365.25)</f>
        <v>34</v>
      </c>
      <c r="P9" s="12" t="s">
        <v>22</v>
      </c>
    </row>
    <row r="10" customFormat="false" ht="15" hidden="false" customHeight="false" outlineLevel="0" collapsed="false">
      <c r="A10" s="51" t="n">
        <v>6</v>
      </c>
      <c r="B10" s="10" t="n">
        <v>868309</v>
      </c>
      <c r="C10" s="11" t="s">
        <v>998</v>
      </c>
      <c r="D10" s="12" t="n">
        <v>34234</v>
      </c>
      <c r="E10" s="11" t="s">
        <v>1469</v>
      </c>
      <c r="F10" s="11" t="s">
        <v>151</v>
      </c>
      <c r="G10" s="11" t="s">
        <v>999</v>
      </c>
      <c r="H10" s="11" t="n">
        <v>8703353</v>
      </c>
      <c r="I10" s="11" t="n">
        <v>47438</v>
      </c>
      <c r="J10" s="11" t="n">
        <v>114</v>
      </c>
      <c r="K10" s="11" t="s">
        <v>30</v>
      </c>
      <c r="L10" s="11"/>
      <c r="M10" s="11" t="s">
        <v>1471</v>
      </c>
      <c r="N10" s="24" t="n">
        <v>45848</v>
      </c>
      <c r="O10" s="25" t="n">
        <f aca="false">INT((N10-D10)/365.25)</f>
        <v>31</v>
      </c>
      <c r="P10" s="12" t="s">
        <v>22</v>
      </c>
    </row>
    <row r="11" customFormat="false" ht="15" hidden="false" customHeight="false" outlineLevel="0" collapsed="false">
      <c r="A11" s="51" t="n">
        <v>7</v>
      </c>
      <c r="B11" s="10" t="n">
        <v>869597</v>
      </c>
      <c r="C11" s="11" t="s">
        <v>1002</v>
      </c>
      <c r="D11" s="12" t="n">
        <v>32251</v>
      </c>
      <c r="E11" s="11" t="s">
        <v>1469</v>
      </c>
      <c r="F11" s="11" t="s">
        <v>151</v>
      </c>
      <c r="G11" s="11" t="s">
        <v>1003</v>
      </c>
      <c r="H11" s="34" t="s">
        <v>992</v>
      </c>
      <c r="I11" s="11" t="n">
        <v>49664</v>
      </c>
      <c r="J11" s="11" t="n">
        <v>50</v>
      </c>
      <c r="K11" s="11" t="s">
        <v>30</v>
      </c>
      <c r="L11" s="11"/>
      <c r="M11" s="11" t="s">
        <v>1471</v>
      </c>
      <c r="N11" s="24" t="n">
        <v>45848</v>
      </c>
      <c r="O11" s="25" t="n">
        <f aca="false">INT((N11-D11)/365.25)</f>
        <v>37</v>
      </c>
      <c r="P11" s="12" t="s">
        <v>22</v>
      </c>
    </row>
    <row r="12" customFormat="false" ht="15" hidden="false" customHeight="false" outlineLevel="0" collapsed="false">
      <c r="A12" s="51" t="n">
        <v>8</v>
      </c>
      <c r="B12" s="10"/>
      <c r="C12" s="11" t="s">
        <v>1475</v>
      </c>
      <c r="D12" s="12" t="n">
        <v>37900</v>
      </c>
      <c r="E12" s="11" t="s">
        <v>1469</v>
      </c>
      <c r="F12" s="11" t="s">
        <v>151</v>
      </c>
      <c r="G12" s="11" t="s">
        <v>1476</v>
      </c>
      <c r="H12" s="11" t="n">
        <v>10456104</v>
      </c>
      <c r="I12" s="11" t="n">
        <v>1735086</v>
      </c>
      <c r="J12" s="11" t="n">
        <v>8430</v>
      </c>
      <c r="K12" s="11" t="s">
        <v>30</v>
      </c>
      <c r="L12" s="11"/>
      <c r="M12" s="11" t="s">
        <v>1471</v>
      </c>
      <c r="N12" s="24" t="n">
        <v>45848</v>
      </c>
      <c r="O12" s="25" t="n">
        <f aca="false">INT((N12-D12)/365.25)</f>
        <v>21</v>
      </c>
      <c r="P12" s="12" t="s">
        <v>22</v>
      </c>
    </row>
    <row r="13" customFormat="false" ht="15" hidden="false" customHeight="false" outlineLevel="0" collapsed="false">
      <c r="A13" s="51" t="n">
        <v>10</v>
      </c>
      <c r="B13" s="10"/>
      <c r="C13" s="11" t="s">
        <v>1918</v>
      </c>
      <c r="D13" s="12" t="n">
        <v>29546</v>
      </c>
      <c r="E13" s="11" t="s">
        <v>1469</v>
      </c>
      <c r="F13" s="11" t="s">
        <v>151</v>
      </c>
      <c r="G13" s="11" t="s">
        <v>1919</v>
      </c>
      <c r="H13" s="11" t="n">
        <v>5574258</v>
      </c>
      <c r="I13" s="11" t="n">
        <v>2852907</v>
      </c>
      <c r="J13" s="11" t="n">
        <v>60</v>
      </c>
      <c r="K13" s="11" t="s">
        <v>22</v>
      </c>
      <c r="L13" s="11"/>
      <c r="M13" s="11" t="s">
        <v>1471</v>
      </c>
      <c r="N13" s="24" t="n">
        <v>45848</v>
      </c>
      <c r="O13" s="25" t="n">
        <f aca="false">INT((N13-D13)/365.25)</f>
        <v>44</v>
      </c>
      <c r="P13" s="12" t="s">
        <v>22</v>
      </c>
    </row>
    <row r="14" customFormat="false" ht="15" hidden="false" customHeight="false" outlineLevel="0" collapsed="false">
      <c r="A14" s="51" t="n">
        <v>11</v>
      </c>
      <c r="B14" s="10"/>
      <c r="C14" s="11" t="s">
        <v>1477</v>
      </c>
      <c r="D14" s="12" t="n">
        <v>35815</v>
      </c>
      <c r="E14" s="11" t="s">
        <v>1469</v>
      </c>
      <c r="F14" s="11" t="s">
        <v>151</v>
      </c>
      <c r="G14" s="11" t="s">
        <v>1478</v>
      </c>
      <c r="H14" s="11" t="n">
        <v>9422633</v>
      </c>
      <c r="I14" s="11" t="n">
        <v>7117890</v>
      </c>
      <c r="J14" s="11" t="n">
        <v>60</v>
      </c>
      <c r="K14" s="11" t="s">
        <v>22</v>
      </c>
      <c r="L14" s="11"/>
      <c r="M14" s="11" t="s">
        <v>1471</v>
      </c>
      <c r="N14" s="24" t="n">
        <v>45848</v>
      </c>
      <c r="O14" s="25" t="n">
        <f aca="false">INT((N14-D14)/365.25)</f>
        <v>27</v>
      </c>
      <c r="P14" s="12" t="s">
        <v>22</v>
      </c>
    </row>
    <row r="15" customFormat="false" ht="15" hidden="false" customHeight="false" outlineLevel="0" collapsed="false">
      <c r="A15" s="51" t="n">
        <v>12</v>
      </c>
      <c r="B15" s="10" t="n">
        <v>868303</v>
      </c>
      <c r="C15" s="11" t="s">
        <v>1006</v>
      </c>
      <c r="D15" s="12" t="n">
        <v>32427</v>
      </c>
      <c r="E15" s="11" t="s">
        <v>1469</v>
      </c>
      <c r="F15" s="11" t="s">
        <v>151</v>
      </c>
      <c r="G15" s="11" t="s">
        <v>1007</v>
      </c>
      <c r="H15" s="11" t="n">
        <v>8044063</v>
      </c>
      <c r="I15" s="11" t="n">
        <v>65097</v>
      </c>
      <c r="J15" s="11" t="n">
        <v>75</v>
      </c>
      <c r="K15" s="11"/>
      <c r="L15" s="11"/>
      <c r="M15" s="11" t="s">
        <v>1471</v>
      </c>
      <c r="N15" s="24" t="n">
        <v>45848</v>
      </c>
      <c r="O15" s="25" t="n">
        <f aca="false">INT((N15-D15)/365.25)</f>
        <v>36</v>
      </c>
      <c r="P15" s="12" t="s">
        <v>22</v>
      </c>
    </row>
    <row r="16" customFormat="false" ht="15" hidden="false" customHeight="false" outlineLevel="0" collapsed="false">
      <c r="A16" s="51" t="n">
        <v>13</v>
      </c>
      <c r="B16" s="10"/>
      <c r="C16" s="11" t="s">
        <v>1479</v>
      </c>
      <c r="D16" s="12" t="n">
        <v>38489</v>
      </c>
      <c r="E16" s="11" t="s">
        <v>1469</v>
      </c>
      <c r="F16" s="11" t="s">
        <v>151</v>
      </c>
      <c r="G16" s="11" t="s">
        <v>1480</v>
      </c>
      <c r="H16" s="11" t="n">
        <v>8385511</v>
      </c>
      <c r="I16" s="11" t="n">
        <v>892332</v>
      </c>
      <c r="J16" s="11" t="n">
        <v>8243</v>
      </c>
      <c r="K16" s="11" t="s">
        <v>22</v>
      </c>
      <c r="L16" s="11"/>
      <c r="M16" s="11" t="s">
        <v>1471</v>
      </c>
      <c r="N16" s="24" t="n">
        <v>45848</v>
      </c>
      <c r="O16" s="25" t="n">
        <f aca="false">INT((N16-D16)/365.25)</f>
        <v>20</v>
      </c>
      <c r="P16" s="12" t="s">
        <v>22</v>
      </c>
    </row>
    <row r="17" customFormat="false" ht="15" hidden="false" customHeight="false" outlineLevel="0" collapsed="false">
      <c r="A17" s="51" t="n">
        <v>14</v>
      </c>
      <c r="B17" s="10"/>
      <c r="C17" s="11" t="s">
        <v>1481</v>
      </c>
      <c r="D17" s="12" t="n">
        <v>24962</v>
      </c>
      <c r="E17" s="11" t="s">
        <v>1469</v>
      </c>
      <c r="F17" s="11" t="s">
        <v>151</v>
      </c>
      <c r="G17" s="11" t="s">
        <v>1482</v>
      </c>
      <c r="H17" s="11" t="n">
        <v>3038763</v>
      </c>
      <c r="I17" s="11" t="n">
        <v>5314642</v>
      </c>
      <c r="J17" s="11" t="n">
        <v>5491</v>
      </c>
      <c r="K17" s="11" t="s">
        <v>30</v>
      </c>
      <c r="L17" s="11"/>
      <c r="M17" s="11" t="s">
        <v>1471</v>
      </c>
      <c r="N17" s="24" t="n">
        <v>45848</v>
      </c>
      <c r="O17" s="25" t="n">
        <f aca="false">INT((N17-D17)/365.25)</f>
        <v>57</v>
      </c>
      <c r="P17" s="12" t="s">
        <v>22</v>
      </c>
    </row>
    <row r="18" customFormat="false" ht="15" hidden="false" customHeight="false" outlineLevel="0" collapsed="false">
      <c r="A18" s="51" t="n">
        <v>15</v>
      </c>
      <c r="B18" s="10"/>
      <c r="C18" s="11" t="s">
        <v>1920</v>
      </c>
      <c r="D18" s="12" t="n">
        <v>38628</v>
      </c>
      <c r="E18" s="11" t="s">
        <v>1469</v>
      </c>
      <c r="F18" s="11" t="s">
        <v>151</v>
      </c>
      <c r="G18" s="11" t="s">
        <v>1921</v>
      </c>
      <c r="H18" s="11" t="n">
        <v>12016286</v>
      </c>
      <c r="I18" s="11" t="n">
        <v>1489633</v>
      </c>
      <c r="J18" s="11" t="n">
        <v>7309</v>
      </c>
      <c r="K18" s="11" t="s">
        <v>22</v>
      </c>
      <c r="L18" s="11"/>
      <c r="M18" s="11" t="s">
        <v>1471</v>
      </c>
      <c r="N18" s="24" t="n">
        <v>45848</v>
      </c>
      <c r="O18" s="25" t="n">
        <f aca="false">INT((N18-D18)/365.25)</f>
        <v>19</v>
      </c>
      <c r="P18" s="12" t="s">
        <v>22</v>
      </c>
    </row>
    <row r="19" customFormat="false" ht="15" hidden="false" customHeight="false" outlineLevel="0" collapsed="false">
      <c r="A19" s="51" t="n">
        <v>16</v>
      </c>
      <c r="B19" s="10"/>
      <c r="C19" s="11" t="s">
        <v>1484</v>
      </c>
      <c r="D19" s="12" t="n">
        <v>37120</v>
      </c>
      <c r="E19" s="11" t="s">
        <v>1469</v>
      </c>
      <c r="F19" s="11" t="s">
        <v>151</v>
      </c>
      <c r="G19" s="11" t="s">
        <v>1485</v>
      </c>
      <c r="H19" s="11" t="n">
        <v>11861628</v>
      </c>
      <c r="I19" s="11" t="n">
        <v>7210394</v>
      </c>
      <c r="J19" s="11" t="n">
        <v>451</v>
      </c>
      <c r="K19" s="11" t="s">
        <v>22</v>
      </c>
      <c r="L19" s="11"/>
      <c r="M19" s="11" t="s">
        <v>1471</v>
      </c>
      <c r="N19" s="24" t="n">
        <v>45848</v>
      </c>
      <c r="O19" s="25" t="n">
        <f aca="false">INT((N19-D19)/365.25)</f>
        <v>23</v>
      </c>
      <c r="P19" s="12" t="s">
        <v>22</v>
      </c>
    </row>
    <row r="20" customFormat="false" ht="15" hidden="false" customHeight="false" outlineLevel="0" collapsed="false">
      <c r="A20" s="51" t="n">
        <v>17</v>
      </c>
      <c r="B20" s="10"/>
      <c r="C20" s="11" t="s">
        <v>1922</v>
      </c>
      <c r="D20" s="12" t="n">
        <v>31246</v>
      </c>
      <c r="E20" s="11" t="s">
        <v>1469</v>
      </c>
      <c r="F20" s="11" t="s">
        <v>151</v>
      </c>
      <c r="G20" s="11" t="s">
        <v>1487</v>
      </c>
      <c r="H20" s="11" t="n">
        <v>7614404</v>
      </c>
      <c r="I20" s="11" t="n">
        <v>9855</v>
      </c>
      <c r="J20" s="11" t="n">
        <v>83</v>
      </c>
      <c r="K20" s="11" t="s">
        <v>22</v>
      </c>
      <c r="L20" s="11"/>
      <c r="M20" s="11" t="s">
        <v>1471</v>
      </c>
      <c r="N20" s="24" t="n">
        <v>45848</v>
      </c>
      <c r="O20" s="25" t="n">
        <f aca="false">INT((N20-D20)/365.25)</f>
        <v>39</v>
      </c>
      <c r="P20" s="12" t="s">
        <v>22</v>
      </c>
    </row>
    <row r="21" customFormat="false" ht="15" hidden="false" customHeight="false" outlineLevel="0" collapsed="false">
      <c r="A21" s="51" t="n">
        <v>18</v>
      </c>
      <c r="B21" s="10"/>
      <c r="C21" s="11" t="s">
        <v>1488</v>
      </c>
      <c r="D21" s="12" t="n">
        <v>35561</v>
      </c>
      <c r="E21" s="11" t="s">
        <v>1469</v>
      </c>
      <c r="F21" s="11" t="s">
        <v>151</v>
      </c>
      <c r="G21" s="11" t="s">
        <v>1489</v>
      </c>
      <c r="H21" s="11" t="n">
        <v>10026901</v>
      </c>
      <c r="I21" s="11" t="n">
        <v>31046</v>
      </c>
      <c r="J21" s="11" t="n">
        <v>122</v>
      </c>
      <c r="K21" s="11" t="s">
        <v>22</v>
      </c>
      <c r="L21" s="11"/>
      <c r="M21" s="11" t="s">
        <v>1471</v>
      </c>
      <c r="N21" s="24" t="n">
        <v>45858</v>
      </c>
      <c r="O21" s="25" t="n">
        <f aca="false">INT((N21-D21)/365.25)</f>
        <v>28</v>
      </c>
      <c r="P21" s="12" t="s">
        <v>22</v>
      </c>
    </row>
    <row r="22" customFormat="false" ht="15" hidden="false" customHeight="false" outlineLevel="0" collapsed="false">
      <c r="A22" s="51" t="n">
        <v>19</v>
      </c>
      <c r="B22" s="10"/>
      <c r="C22" s="11" t="s">
        <v>1024</v>
      </c>
      <c r="D22" s="12" t="n">
        <v>32416</v>
      </c>
      <c r="E22" s="11" t="s">
        <v>1469</v>
      </c>
      <c r="F22" s="11" t="s">
        <v>151</v>
      </c>
      <c r="G22" s="11" t="s">
        <v>1025</v>
      </c>
      <c r="H22" s="11" t="n">
        <v>7916380</v>
      </c>
      <c r="I22" s="11" t="n">
        <v>80048</v>
      </c>
      <c r="J22" s="11" t="n">
        <v>69</v>
      </c>
      <c r="K22" s="11" t="s">
        <v>30</v>
      </c>
      <c r="L22" s="11"/>
      <c r="M22" s="11" t="s">
        <v>1471</v>
      </c>
      <c r="N22" s="24" t="n">
        <v>45848</v>
      </c>
      <c r="O22" s="25" t="n">
        <f aca="false">INT((N22-D22)/365.25)</f>
        <v>36</v>
      </c>
      <c r="P22" s="12" t="s">
        <v>22</v>
      </c>
    </row>
    <row r="23" customFormat="false" ht="15" hidden="false" customHeight="false" outlineLevel="0" collapsed="false">
      <c r="A23" s="51" t="n">
        <v>20</v>
      </c>
      <c r="B23" s="10"/>
      <c r="C23" s="11" t="s">
        <v>1923</v>
      </c>
      <c r="D23" s="12" t="n">
        <v>30171</v>
      </c>
      <c r="E23" s="11" t="s">
        <v>1469</v>
      </c>
      <c r="F23" s="11" t="s">
        <v>151</v>
      </c>
      <c r="G23" s="11" t="s">
        <v>1924</v>
      </c>
      <c r="H23" s="11" t="n">
        <v>5894676</v>
      </c>
      <c r="I23" s="11" t="n">
        <v>549928</v>
      </c>
      <c r="J23" s="11" t="n">
        <v>495</v>
      </c>
      <c r="K23" s="11" t="s">
        <v>22</v>
      </c>
      <c r="L23" s="11"/>
      <c r="M23" s="11" t="s">
        <v>1471</v>
      </c>
      <c r="N23" s="24" t="n">
        <v>45848</v>
      </c>
      <c r="O23" s="25" t="n">
        <f aca="false">INT((N23-D23)/365.25)</f>
        <v>42</v>
      </c>
      <c r="P23" s="12" t="s">
        <v>22</v>
      </c>
    </row>
    <row r="24" customFormat="false" ht="15" hidden="false" customHeight="false" outlineLevel="0" collapsed="false">
      <c r="A24" s="51" t="n">
        <v>21</v>
      </c>
      <c r="B24" s="10"/>
      <c r="C24" s="11" t="s">
        <v>1490</v>
      </c>
      <c r="D24" s="12" t="n">
        <v>30973</v>
      </c>
      <c r="E24" s="11" t="s">
        <v>1469</v>
      </c>
      <c r="F24" s="11" t="s">
        <v>151</v>
      </c>
      <c r="G24" s="11" t="s">
        <v>1491</v>
      </c>
      <c r="H24" s="11" t="n">
        <v>721015</v>
      </c>
      <c r="I24" s="11" t="n">
        <v>22851</v>
      </c>
      <c r="J24" s="11" t="n">
        <v>78</v>
      </c>
      <c r="K24" s="11" t="s">
        <v>22</v>
      </c>
      <c r="L24" s="11"/>
      <c r="M24" s="11" t="s">
        <v>1471</v>
      </c>
      <c r="N24" s="24" t="n">
        <v>45848</v>
      </c>
      <c r="O24" s="25" t="n">
        <f aca="false">INT((N24-D24)/365.25)</f>
        <v>40</v>
      </c>
      <c r="P24" s="12" t="s">
        <v>22</v>
      </c>
    </row>
    <row r="25" customFormat="false" ht="15" hidden="false" customHeight="false" outlineLevel="0" collapsed="false">
      <c r="A25" s="51" t="n">
        <v>22</v>
      </c>
      <c r="B25" s="10"/>
      <c r="C25" s="11" t="s">
        <v>1492</v>
      </c>
      <c r="D25" s="12" t="n">
        <v>38803</v>
      </c>
      <c r="E25" s="11" t="s">
        <v>1469</v>
      </c>
      <c r="F25" s="11" t="s">
        <v>151</v>
      </c>
      <c r="G25" s="11" t="s">
        <v>1493</v>
      </c>
      <c r="H25" s="11" t="n">
        <v>11629931</v>
      </c>
      <c r="I25" s="11" t="n">
        <v>1176007</v>
      </c>
      <c r="J25" s="11" t="n">
        <v>9486</v>
      </c>
      <c r="K25" s="11" t="s">
        <v>22</v>
      </c>
      <c r="L25" s="11"/>
      <c r="M25" s="11" t="s">
        <v>1471</v>
      </c>
      <c r="N25" s="24" t="n">
        <v>45848</v>
      </c>
      <c r="O25" s="25" t="n">
        <f aca="false">INT((N25-D25)/365.25)</f>
        <v>19</v>
      </c>
      <c r="P25" s="12" t="s">
        <v>22</v>
      </c>
    </row>
    <row r="26" customFormat="false" ht="15" hidden="false" customHeight="false" outlineLevel="0" collapsed="false">
      <c r="A26" s="51" t="n">
        <v>23</v>
      </c>
      <c r="B26" s="10"/>
      <c r="C26" s="11" t="s">
        <v>1925</v>
      </c>
      <c r="D26" s="12" t="n">
        <v>38516</v>
      </c>
      <c r="E26" s="11" t="s">
        <v>1469</v>
      </c>
      <c r="F26" s="11" t="s">
        <v>151</v>
      </c>
      <c r="G26" s="11" t="s">
        <v>1926</v>
      </c>
      <c r="H26" s="11" t="s">
        <v>1927</v>
      </c>
      <c r="I26" s="11" t="n">
        <v>4869673</v>
      </c>
      <c r="J26" s="11" t="n">
        <v>5846</v>
      </c>
      <c r="K26" s="11" t="s">
        <v>22</v>
      </c>
      <c r="L26" s="11"/>
      <c r="M26" s="11" t="s">
        <v>1471</v>
      </c>
      <c r="N26" s="24" t="n">
        <v>45848</v>
      </c>
      <c r="O26" s="25" t="n">
        <f aca="false">INT((N26-D26)/365.25)</f>
        <v>20</v>
      </c>
      <c r="P26" s="12" t="s">
        <v>22</v>
      </c>
    </row>
    <row r="27" customFormat="false" ht="15" hidden="false" customHeight="false" outlineLevel="0" collapsed="false">
      <c r="A27" s="51" t="n">
        <v>24</v>
      </c>
      <c r="B27" s="10" t="n">
        <v>868307</v>
      </c>
      <c r="C27" s="11" t="s">
        <v>1028</v>
      </c>
      <c r="D27" s="12" t="n">
        <v>36757</v>
      </c>
      <c r="E27" s="11" t="s">
        <v>1469</v>
      </c>
      <c r="F27" s="11" t="s">
        <v>151</v>
      </c>
      <c r="G27" s="11" t="s">
        <v>1029</v>
      </c>
      <c r="H27" s="11" t="n">
        <v>8478976</v>
      </c>
      <c r="I27" s="11" t="n">
        <v>1158606</v>
      </c>
      <c r="J27" s="11" t="n">
        <v>7420</v>
      </c>
      <c r="K27" s="11" t="s">
        <v>30</v>
      </c>
      <c r="L27" s="11"/>
      <c r="M27" s="11" t="s">
        <v>1471</v>
      </c>
      <c r="N27" s="24" t="n">
        <v>45848</v>
      </c>
      <c r="O27" s="25" t="n">
        <f aca="false">INT((N27-D27)/365.25)</f>
        <v>24</v>
      </c>
      <c r="P27" s="12" t="s">
        <v>22</v>
      </c>
    </row>
    <row r="28" customFormat="false" ht="15" hidden="false" customHeight="false" outlineLevel="0" collapsed="false">
      <c r="A28" s="51" t="n">
        <v>25</v>
      </c>
      <c r="B28" s="10" t="n">
        <v>868292</v>
      </c>
      <c r="C28" s="11" t="s">
        <v>1032</v>
      </c>
      <c r="D28" s="12" t="n">
        <v>30650</v>
      </c>
      <c r="E28" s="11" t="s">
        <v>1469</v>
      </c>
      <c r="F28" s="11" t="s">
        <v>151</v>
      </c>
      <c r="G28" s="11" t="s">
        <v>1033</v>
      </c>
      <c r="H28" s="11" t="n">
        <v>6271319</v>
      </c>
      <c r="I28" s="11" t="n">
        <v>49124</v>
      </c>
      <c r="J28" s="11" t="n">
        <v>74</v>
      </c>
      <c r="K28" s="11" t="s">
        <v>22</v>
      </c>
      <c r="L28" s="11"/>
      <c r="M28" s="11" t="s">
        <v>1471</v>
      </c>
      <c r="N28" s="24" t="n">
        <v>45849</v>
      </c>
      <c r="O28" s="25" t="n">
        <f aca="false">INT((N28-D28)/365.25)</f>
        <v>41</v>
      </c>
      <c r="P28" s="12" t="s">
        <v>22</v>
      </c>
    </row>
    <row r="29" customFormat="false" ht="15" hidden="false" customHeight="false" outlineLevel="0" collapsed="false">
      <c r="A29" s="51" t="n">
        <v>26</v>
      </c>
      <c r="B29" s="10"/>
      <c r="C29" s="11" t="s">
        <v>1034</v>
      </c>
      <c r="D29" s="12" t="n">
        <v>34284</v>
      </c>
      <c r="E29" s="11" t="s">
        <v>1469</v>
      </c>
      <c r="F29" s="11" t="s">
        <v>151</v>
      </c>
      <c r="G29" s="11" t="s">
        <v>1035</v>
      </c>
      <c r="H29" s="11" t="n">
        <v>8728368</v>
      </c>
      <c r="I29" s="11" t="n">
        <v>1003916</v>
      </c>
      <c r="J29" s="11" t="n">
        <v>6430</v>
      </c>
      <c r="K29" s="11" t="s">
        <v>30</v>
      </c>
      <c r="L29" s="11"/>
      <c r="M29" s="11" t="s">
        <v>1471</v>
      </c>
      <c r="N29" s="24" t="n">
        <v>45848</v>
      </c>
      <c r="O29" s="25" t="n">
        <f aca="false">INT((N29-D29)/365.25)</f>
        <v>31</v>
      </c>
      <c r="P29" s="12" t="s">
        <v>22</v>
      </c>
    </row>
    <row r="30" customFormat="false" ht="15" hidden="false" customHeight="false" outlineLevel="0" collapsed="false">
      <c r="A30" s="51" t="n">
        <v>27</v>
      </c>
      <c r="B30" s="10"/>
      <c r="C30" s="11" t="s">
        <v>1494</v>
      </c>
      <c r="D30" s="12" t="n">
        <v>34077</v>
      </c>
      <c r="E30" s="11" t="s">
        <v>1469</v>
      </c>
      <c r="F30" s="11" t="s">
        <v>151</v>
      </c>
      <c r="G30" s="11" t="s">
        <v>1495</v>
      </c>
      <c r="H30" s="11" t="n">
        <v>6908635</v>
      </c>
      <c r="I30" s="11" t="n">
        <v>265383</v>
      </c>
      <c r="J30" s="11" t="n">
        <v>1295</v>
      </c>
      <c r="K30" s="11" t="s">
        <v>30</v>
      </c>
      <c r="L30" s="11"/>
      <c r="M30" s="11" t="s">
        <v>1471</v>
      </c>
      <c r="N30" s="24" t="n">
        <v>45848</v>
      </c>
      <c r="O30" s="25" t="n">
        <f aca="false">INT((N30-D30)/365.25)</f>
        <v>32</v>
      </c>
      <c r="P30" s="12" t="s">
        <v>22</v>
      </c>
    </row>
    <row r="31" customFormat="false" ht="15" hidden="false" customHeight="false" outlineLevel="0" collapsed="false">
      <c r="A31" s="51" t="n">
        <v>28</v>
      </c>
      <c r="B31" s="10"/>
      <c r="C31" s="11" t="s">
        <v>1928</v>
      </c>
      <c r="D31" s="12" t="n">
        <v>29733</v>
      </c>
      <c r="E31" s="11" t="s">
        <v>1469</v>
      </c>
      <c r="F31" s="11" t="s">
        <v>151</v>
      </c>
      <c r="G31" s="11" t="s">
        <v>1929</v>
      </c>
      <c r="H31" s="11" t="s">
        <v>997</v>
      </c>
      <c r="I31" s="11" t="n">
        <v>9761551</v>
      </c>
      <c r="J31" s="11" t="n">
        <v>50</v>
      </c>
      <c r="K31" s="11" t="s">
        <v>30</v>
      </c>
      <c r="L31" s="11"/>
      <c r="M31" s="11" t="s">
        <v>1471</v>
      </c>
      <c r="N31" s="24" t="n">
        <v>45848</v>
      </c>
      <c r="O31" s="25" t="n">
        <f aca="false">INT((N31-D31)/365.25)</f>
        <v>44</v>
      </c>
      <c r="P31" s="12" t="s">
        <v>22</v>
      </c>
    </row>
    <row r="32" customFormat="false" ht="15" hidden="false" customHeight="false" outlineLevel="0" collapsed="false">
      <c r="A32" s="51" t="n">
        <v>29</v>
      </c>
      <c r="B32" s="10"/>
      <c r="C32" s="11" t="s">
        <v>1496</v>
      </c>
      <c r="D32" s="12" t="n">
        <v>38358</v>
      </c>
      <c r="E32" s="11" t="s">
        <v>1469</v>
      </c>
      <c r="F32" s="11" t="s">
        <v>151</v>
      </c>
      <c r="G32" s="11"/>
      <c r="H32" s="11"/>
      <c r="I32" s="11"/>
      <c r="J32" s="11"/>
      <c r="K32" s="11"/>
      <c r="L32" s="11"/>
      <c r="M32" s="11" t="s">
        <v>1471</v>
      </c>
      <c r="N32" s="24" t="n">
        <v>45855</v>
      </c>
      <c r="O32" s="25" t="n">
        <f aca="false">INT((N32-D32)/365.25)</f>
        <v>20</v>
      </c>
      <c r="P32" s="12"/>
    </row>
    <row r="33" customFormat="false" ht="15" hidden="false" customHeight="false" outlineLevel="0" collapsed="false">
      <c r="A33" s="51" t="n">
        <v>30</v>
      </c>
      <c r="B33" s="10" t="n">
        <v>869124</v>
      </c>
      <c r="C33" s="11" t="s">
        <v>1036</v>
      </c>
      <c r="D33" s="12" t="n">
        <v>32780</v>
      </c>
      <c r="E33" s="11" t="s">
        <v>1469</v>
      </c>
      <c r="F33" s="11" t="s">
        <v>151</v>
      </c>
      <c r="G33" s="10" t="s">
        <v>1037</v>
      </c>
      <c r="H33" s="34" t="s">
        <v>1038</v>
      </c>
      <c r="I33" s="11" t="n">
        <v>53015</v>
      </c>
      <c r="J33" s="11" t="n">
        <v>85</v>
      </c>
      <c r="K33" s="11" t="s">
        <v>30</v>
      </c>
      <c r="L33" s="11"/>
      <c r="M33" s="11" t="s">
        <v>1471</v>
      </c>
      <c r="N33" s="24" t="n">
        <v>45850</v>
      </c>
      <c r="O33" s="25" t="n">
        <f aca="false">INT((N33-D33)/365.25)</f>
        <v>35</v>
      </c>
      <c r="P33" s="12" t="s">
        <v>22</v>
      </c>
    </row>
    <row r="34" customFormat="false" ht="15" hidden="false" customHeight="false" outlineLevel="0" collapsed="false">
      <c r="A34" s="51" t="n">
        <v>31</v>
      </c>
      <c r="B34" s="10" t="n">
        <v>854816</v>
      </c>
      <c r="C34" s="11" t="s">
        <v>1039</v>
      </c>
      <c r="D34" s="12" t="n">
        <v>37052</v>
      </c>
      <c r="E34" s="11" t="s">
        <v>1469</v>
      </c>
      <c r="F34" s="11" t="s">
        <v>151</v>
      </c>
      <c r="G34" s="11" t="s">
        <v>1040</v>
      </c>
      <c r="H34" s="11" t="n">
        <v>10447449</v>
      </c>
      <c r="I34" s="11" t="n">
        <v>1403645</v>
      </c>
      <c r="J34" s="11" t="n">
        <v>3459</v>
      </c>
      <c r="K34" s="11" t="s">
        <v>22</v>
      </c>
      <c r="L34" s="11"/>
      <c r="M34" s="11" t="s">
        <v>1471</v>
      </c>
      <c r="N34" s="24" t="n">
        <v>45848</v>
      </c>
      <c r="O34" s="25" t="n">
        <f aca="false">INT((N34-D34)/365.25)</f>
        <v>24</v>
      </c>
      <c r="P34" s="12" t="s">
        <v>22</v>
      </c>
    </row>
    <row r="35" customFormat="false" ht="15" hidden="false" customHeight="false" outlineLevel="0" collapsed="false">
      <c r="A35" s="51" t="n">
        <v>32</v>
      </c>
      <c r="B35" s="10" t="n">
        <v>869599</v>
      </c>
      <c r="C35" s="11" t="s">
        <v>1041</v>
      </c>
      <c r="D35" s="12" t="n">
        <v>27367</v>
      </c>
      <c r="E35" s="11" t="s">
        <v>1469</v>
      </c>
      <c r="F35" s="11" t="s">
        <v>151</v>
      </c>
      <c r="G35" s="11" t="s">
        <v>1042</v>
      </c>
      <c r="H35" s="11" t="n">
        <v>5671623</v>
      </c>
      <c r="I35" s="11" t="n">
        <v>30090</v>
      </c>
      <c r="J35" s="11" t="n">
        <v>5203</v>
      </c>
      <c r="K35" s="11" t="s">
        <v>30</v>
      </c>
      <c r="L35" s="11"/>
      <c r="M35" s="11" t="s">
        <v>1471</v>
      </c>
      <c r="N35" s="24" t="n">
        <v>45848</v>
      </c>
      <c r="O35" s="25" t="n">
        <f aca="false">INT((N35-D35)/365.25)</f>
        <v>50</v>
      </c>
      <c r="P35" s="12" t="s">
        <v>22</v>
      </c>
    </row>
    <row r="36" customFormat="false" ht="15" hidden="false" customHeight="false" outlineLevel="0" collapsed="false">
      <c r="A36" s="51" t="n">
        <v>33</v>
      </c>
      <c r="B36" s="10"/>
      <c r="C36" s="11" t="s">
        <v>1043</v>
      </c>
      <c r="D36" s="12" t="n">
        <v>29778</v>
      </c>
      <c r="E36" s="11" t="s">
        <v>1469</v>
      </c>
      <c r="F36" s="11" t="s">
        <v>151</v>
      </c>
      <c r="G36" s="11" t="s">
        <v>1044</v>
      </c>
      <c r="H36" s="11" t="n">
        <v>6267076</v>
      </c>
      <c r="I36" s="11" t="n">
        <v>53191</v>
      </c>
      <c r="J36" s="11" t="n">
        <v>104</v>
      </c>
      <c r="K36" s="11" t="s">
        <v>22</v>
      </c>
      <c r="L36" s="11"/>
      <c r="M36" s="11" t="s">
        <v>1471</v>
      </c>
      <c r="N36" s="24" t="n">
        <v>45856</v>
      </c>
      <c r="O36" s="25" t="n">
        <f aca="false">INT((N36-D36)/365.25)</f>
        <v>44</v>
      </c>
      <c r="P36" s="12" t="s">
        <v>22</v>
      </c>
    </row>
    <row r="37" customFormat="false" ht="15" hidden="false" customHeight="false" outlineLevel="0" collapsed="false">
      <c r="A37" s="51" t="n">
        <v>34</v>
      </c>
      <c r="B37" s="10"/>
      <c r="C37" s="11" t="s">
        <v>1503</v>
      </c>
      <c r="D37" s="12" t="n">
        <v>38286</v>
      </c>
      <c r="E37" s="11" t="s">
        <v>1469</v>
      </c>
      <c r="F37" s="11" t="s">
        <v>151</v>
      </c>
      <c r="G37" s="11" t="s">
        <v>1504</v>
      </c>
      <c r="H37" s="11" t="n">
        <v>10688072</v>
      </c>
      <c r="I37" s="11" t="n">
        <v>1408477</v>
      </c>
      <c r="J37" s="11" t="n">
        <v>418</v>
      </c>
      <c r="K37" s="11" t="s">
        <v>22</v>
      </c>
      <c r="L37" s="11"/>
      <c r="M37" s="11" t="s">
        <v>1471</v>
      </c>
      <c r="N37" s="24" t="n">
        <v>45848</v>
      </c>
      <c r="O37" s="25" t="n">
        <f aca="false">INT((N37-D37)/365.25)</f>
        <v>20</v>
      </c>
      <c r="P37" s="12" t="s">
        <v>22</v>
      </c>
    </row>
    <row r="38" customFormat="false" ht="15" hidden="false" customHeight="false" outlineLevel="0" collapsed="false">
      <c r="A38" s="51" t="n">
        <v>35</v>
      </c>
      <c r="B38" s="10"/>
      <c r="C38" s="11" t="s">
        <v>1505</v>
      </c>
      <c r="D38" s="12" t="n">
        <v>37765</v>
      </c>
      <c r="E38" s="11" t="s">
        <v>1469</v>
      </c>
      <c r="F38" s="11" t="s">
        <v>151</v>
      </c>
      <c r="G38" s="11" t="s">
        <v>1506</v>
      </c>
      <c r="H38" s="11" t="n">
        <v>10539228</v>
      </c>
      <c r="I38" s="11" t="n">
        <v>1431729</v>
      </c>
      <c r="J38" s="11" t="n">
        <v>9496</v>
      </c>
      <c r="K38" s="11" t="s">
        <v>22</v>
      </c>
      <c r="L38" s="11"/>
      <c r="M38" s="11" t="s">
        <v>1471</v>
      </c>
      <c r="N38" s="24" t="n">
        <v>45857</v>
      </c>
      <c r="O38" s="25" t="n">
        <f aca="false">INT((N38-D38)/365.25)</f>
        <v>22</v>
      </c>
      <c r="P38" s="12" t="s">
        <v>22</v>
      </c>
    </row>
    <row r="39" customFormat="false" ht="15" hidden="false" customHeight="false" outlineLevel="0" collapsed="false">
      <c r="A39" s="51" t="n">
        <v>36</v>
      </c>
      <c r="B39" s="10"/>
      <c r="C39" s="11" t="s">
        <v>1507</v>
      </c>
      <c r="D39" s="12" t="n">
        <v>31860</v>
      </c>
      <c r="E39" s="11" t="s">
        <v>1469</v>
      </c>
      <c r="F39" s="11" t="s">
        <v>151</v>
      </c>
      <c r="G39" s="11" t="s">
        <v>1508</v>
      </c>
      <c r="H39" s="11" t="n">
        <v>6866673</v>
      </c>
      <c r="I39" s="11" t="n">
        <v>703990</v>
      </c>
      <c r="J39" s="11" t="n">
        <v>3490</v>
      </c>
      <c r="K39" s="11" t="s">
        <v>30</v>
      </c>
      <c r="L39" s="11"/>
      <c r="M39" s="11" t="s">
        <v>1471</v>
      </c>
      <c r="N39" s="24" t="n">
        <v>45853</v>
      </c>
      <c r="O39" s="25" t="n">
        <f aca="false">INT((N39-D39)/365.25)</f>
        <v>38</v>
      </c>
      <c r="P39" s="12" t="s">
        <v>22</v>
      </c>
    </row>
    <row r="40" customFormat="false" ht="15" hidden="false" customHeight="false" outlineLevel="0" collapsed="false">
      <c r="A40" s="51" t="n">
        <v>37</v>
      </c>
      <c r="B40" s="10"/>
      <c r="C40" s="11" t="s">
        <v>1510</v>
      </c>
      <c r="D40" s="12" t="n">
        <v>35022</v>
      </c>
      <c r="E40" s="11" t="s">
        <v>1469</v>
      </c>
      <c r="F40" s="11" t="s">
        <v>151</v>
      </c>
      <c r="G40" s="11" t="s">
        <v>1511</v>
      </c>
      <c r="H40" s="11" t="n">
        <v>8960612</v>
      </c>
      <c r="I40" s="11" t="n">
        <v>1177631</v>
      </c>
      <c r="J40" s="11" t="n">
        <v>7416</v>
      </c>
      <c r="K40" s="11" t="s">
        <v>30</v>
      </c>
      <c r="L40" s="11"/>
      <c r="M40" s="11" t="s">
        <v>1471</v>
      </c>
      <c r="N40" s="24" t="n">
        <v>45848</v>
      </c>
      <c r="O40" s="25" t="n">
        <f aca="false">INT((N40-D40)/365.25)</f>
        <v>29</v>
      </c>
      <c r="P40" s="12" t="s">
        <v>22</v>
      </c>
    </row>
    <row r="41" customFormat="false" ht="15" hidden="false" customHeight="false" outlineLevel="0" collapsed="false">
      <c r="A41" s="51" t="n">
        <v>38</v>
      </c>
      <c r="B41" s="10" t="n">
        <v>868316</v>
      </c>
      <c r="C41" s="11" t="s">
        <v>1047</v>
      </c>
      <c r="D41" s="12" t="n">
        <v>31586</v>
      </c>
      <c r="E41" s="11" t="s">
        <v>1469</v>
      </c>
      <c r="F41" s="11" t="s">
        <v>151</v>
      </c>
      <c r="G41" s="11" t="s">
        <v>1048</v>
      </c>
      <c r="H41" s="11" t="n">
        <v>6905969</v>
      </c>
      <c r="I41" s="11" t="n">
        <v>72362</v>
      </c>
      <c r="J41" s="11" t="n">
        <v>79</v>
      </c>
      <c r="K41" s="11" t="s">
        <v>22</v>
      </c>
      <c r="L41" s="11"/>
      <c r="M41" s="11" t="s">
        <v>1471</v>
      </c>
      <c r="N41" s="24" t="n">
        <v>45848</v>
      </c>
      <c r="O41" s="25" t="n">
        <f aca="false">INT((N41-D41)/365.25)</f>
        <v>39</v>
      </c>
      <c r="P41" s="12" t="s">
        <v>22</v>
      </c>
    </row>
    <row r="42" customFormat="false" ht="15" hidden="false" customHeight="false" outlineLevel="0" collapsed="false">
      <c r="A42" s="51" t="n">
        <v>39</v>
      </c>
      <c r="B42" s="10"/>
      <c r="C42" s="11" t="s">
        <v>1512</v>
      </c>
      <c r="D42" s="12" t="n">
        <v>36781</v>
      </c>
      <c r="E42" s="11" t="s">
        <v>1469</v>
      </c>
      <c r="F42" s="11" t="s">
        <v>151</v>
      </c>
      <c r="G42" s="11" t="s">
        <v>1513</v>
      </c>
      <c r="H42" s="11" t="n">
        <v>10657348</v>
      </c>
      <c r="I42" s="11" t="n">
        <v>1235328</v>
      </c>
      <c r="J42" s="11" t="n">
        <v>9452</v>
      </c>
      <c r="K42" s="11" t="s">
        <v>22</v>
      </c>
      <c r="L42" s="11"/>
      <c r="M42" s="11" t="s">
        <v>1471</v>
      </c>
      <c r="N42" s="24" t="n">
        <v>45848</v>
      </c>
      <c r="O42" s="25" t="n">
        <f aca="false">INT((N42-D42)/365.25)</f>
        <v>24</v>
      </c>
      <c r="P42" s="12"/>
      <c r="Q42" s="0" t="s">
        <v>16</v>
      </c>
    </row>
    <row r="43" customFormat="false" ht="15" hidden="false" customHeight="false" outlineLevel="0" collapsed="false">
      <c r="A43" s="51" t="n">
        <v>40</v>
      </c>
      <c r="B43" s="10" t="n">
        <v>855040</v>
      </c>
      <c r="C43" s="11" t="s">
        <v>1051</v>
      </c>
      <c r="D43" s="12" t="n">
        <v>31126</v>
      </c>
      <c r="E43" s="11" t="s">
        <v>1469</v>
      </c>
      <c r="F43" s="11" t="s">
        <v>151</v>
      </c>
      <c r="G43" s="11" t="s">
        <v>1052</v>
      </c>
      <c r="H43" s="11" t="n">
        <v>8625766</v>
      </c>
      <c r="I43" s="11" t="n">
        <v>5634612</v>
      </c>
      <c r="J43" s="11" t="n">
        <v>50</v>
      </c>
      <c r="K43" s="11" t="s">
        <v>30</v>
      </c>
      <c r="L43" s="11"/>
      <c r="M43" s="11" t="s">
        <v>1471</v>
      </c>
      <c r="N43" s="24" t="n">
        <v>45848</v>
      </c>
      <c r="O43" s="25" t="n">
        <f aca="false">INT((N43-D43)/365.25)</f>
        <v>40</v>
      </c>
      <c r="P43" s="12" t="s">
        <v>22</v>
      </c>
    </row>
    <row r="44" customFormat="false" ht="15" hidden="false" customHeight="false" outlineLevel="0" collapsed="false">
      <c r="A44" s="51" t="n">
        <v>41</v>
      </c>
      <c r="B44" s="52" t="n">
        <v>855979</v>
      </c>
      <c r="C44" s="53" t="s">
        <v>1055</v>
      </c>
      <c r="D44" s="12" t="n">
        <v>32604</v>
      </c>
      <c r="E44" s="11" t="s">
        <v>1469</v>
      </c>
      <c r="F44" s="11" t="s">
        <v>151</v>
      </c>
      <c r="G44" s="11" t="s">
        <v>1056</v>
      </c>
      <c r="H44" s="11" t="n">
        <v>57787584</v>
      </c>
      <c r="I44" s="11" t="n">
        <v>982326</v>
      </c>
      <c r="J44" s="11" t="n">
        <v>1490</v>
      </c>
      <c r="K44" s="11" t="s">
        <v>22</v>
      </c>
      <c r="L44" s="11"/>
      <c r="M44" s="11" t="s">
        <v>1471</v>
      </c>
      <c r="N44" s="24" t="n">
        <v>45848</v>
      </c>
      <c r="O44" s="25" t="n">
        <f aca="false">INT((N44-D44)/365.25)</f>
        <v>36</v>
      </c>
      <c r="P44" s="12" t="s">
        <v>22</v>
      </c>
    </row>
    <row r="45" customFormat="false" ht="15" hidden="false" customHeight="false" outlineLevel="0" collapsed="false">
      <c r="A45" s="51" t="n">
        <v>42</v>
      </c>
      <c r="B45" s="10" t="n">
        <v>868268</v>
      </c>
      <c r="C45" s="11" t="s">
        <v>1057</v>
      </c>
      <c r="D45" s="12" t="n">
        <v>31179</v>
      </c>
      <c r="E45" s="11" t="s">
        <v>1469</v>
      </c>
      <c r="F45" s="11" t="s">
        <v>151</v>
      </c>
      <c r="G45" s="11" t="s">
        <v>1058</v>
      </c>
      <c r="H45" s="11" t="s">
        <v>1059</v>
      </c>
      <c r="I45" s="11" t="n">
        <v>81996</v>
      </c>
      <c r="J45" s="11" t="n">
        <v>334</v>
      </c>
      <c r="K45" s="11" t="s">
        <v>30</v>
      </c>
      <c r="L45" s="11"/>
      <c r="M45" s="11" t="s">
        <v>1471</v>
      </c>
      <c r="N45" s="24" t="n">
        <v>45851</v>
      </c>
      <c r="O45" s="25" t="n">
        <f aca="false">INT((N45-D45)/365.25)</f>
        <v>40</v>
      </c>
      <c r="P45" s="12" t="s">
        <v>22</v>
      </c>
    </row>
    <row r="46" customFormat="false" ht="15" hidden="false" customHeight="false" outlineLevel="0" collapsed="false">
      <c r="A46" s="51" t="n">
        <v>43</v>
      </c>
      <c r="B46" s="10"/>
      <c r="C46" s="11" t="s">
        <v>1930</v>
      </c>
      <c r="D46" s="12" t="n">
        <v>38218</v>
      </c>
      <c r="E46" s="11" t="s">
        <v>1469</v>
      </c>
      <c r="F46" s="11" t="s">
        <v>151</v>
      </c>
      <c r="G46" s="11" t="s">
        <v>1931</v>
      </c>
      <c r="H46" s="11" t="s">
        <v>1932</v>
      </c>
      <c r="I46" s="11" t="n">
        <v>732617</v>
      </c>
      <c r="J46" s="11" t="n">
        <v>2277</v>
      </c>
      <c r="K46" s="11" t="s">
        <v>22</v>
      </c>
      <c r="L46" s="11"/>
      <c r="M46" s="11" t="s">
        <v>1471</v>
      </c>
      <c r="N46" s="24" t="n">
        <v>45848</v>
      </c>
      <c r="O46" s="25" t="n">
        <f aca="false">INT((N46-D46)/365.25)</f>
        <v>20</v>
      </c>
      <c r="P46" s="12" t="s">
        <v>22</v>
      </c>
    </row>
    <row r="47" customFormat="false" ht="15" hidden="false" customHeight="false" outlineLevel="0" collapsed="false">
      <c r="A47" s="51" t="n">
        <v>44</v>
      </c>
      <c r="B47" s="10"/>
      <c r="C47" s="11" t="s">
        <v>1514</v>
      </c>
      <c r="D47" s="12" t="n">
        <v>36904</v>
      </c>
      <c r="E47" s="11" t="s">
        <v>1469</v>
      </c>
      <c r="F47" s="11" t="s">
        <v>151</v>
      </c>
      <c r="G47" s="11" t="s">
        <v>1515</v>
      </c>
      <c r="H47" s="11" t="n">
        <v>10676153</v>
      </c>
      <c r="I47" s="11" t="n">
        <v>7475849</v>
      </c>
      <c r="J47" s="11" t="n">
        <v>60</v>
      </c>
      <c r="K47" s="11" t="s">
        <v>30</v>
      </c>
      <c r="L47" s="11"/>
      <c r="M47" s="11" t="s">
        <v>1471</v>
      </c>
      <c r="N47" s="24" t="n">
        <v>45848</v>
      </c>
      <c r="O47" s="25" t="n">
        <f aca="false">INT((N47-D47)/365.25)</f>
        <v>24</v>
      </c>
      <c r="P47" s="12" t="s">
        <v>22</v>
      </c>
    </row>
    <row r="48" customFormat="false" ht="15" hidden="false" customHeight="false" outlineLevel="0" collapsed="false">
      <c r="A48" s="51" t="n">
        <v>45</v>
      </c>
      <c r="B48" s="10"/>
      <c r="C48" s="11" t="s">
        <v>1518</v>
      </c>
      <c r="D48" s="12" t="n">
        <v>39239</v>
      </c>
      <c r="E48" s="11" t="s">
        <v>1469</v>
      </c>
      <c r="F48" s="11" t="s">
        <v>151</v>
      </c>
      <c r="G48" s="11" t="s">
        <v>1519</v>
      </c>
      <c r="H48" s="11" t="n">
        <v>12241504</v>
      </c>
      <c r="I48" s="11" t="n">
        <v>1738896</v>
      </c>
      <c r="J48" s="11" t="n">
        <v>3405</v>
      </c>
      <c r="K48" s="11" t="s">
        <v>22</v>
      </c>
      <c r="L48" s="11"/>
      <c r="M48" s="11" t="s">
        <v>1471</v>
      </c>
      <c r="N48" s="24" t="n">
        <v>45848</v>
      </c>
      <c r="O48" s="25" t="n">
        <f aca="false">INT((N48-D48)/365.25)</f>
        <v>18</v>
      </c>
      <c r="P48" s="12" t="s">
        <v>22</v>
      </c>
    </row>
    <row r="49" customFormat="false" ht="15" hidden="false" customHeight="false" outlineLevel="0" collapsed="false">
      <c r="A49" s="51" t="n">
        <v>46</v>
      </c>
      <c r="B49" s="10"/>
      <c r="C49" s="11" t="s">
        <v>1520</v>
      </c>
      <c r="D49" s="12" t="n">
        <v>37737</v>
      </c>
      <c r="E49" s="11" t="s">
        <v>1469</v>
      </c>
      <c r="F49" s="11" t="s">
        <v>151</v>
      </c>
      <c r="G49" s="11" t="s">
        <v>1521</v>
      </c>
      <c r="H49" s="11" t="s">
        <v>1933</v>
      </c>
      <c r="I49" s="11" t="n">
        <v>7158946</v>
      </c>
      <c r="J49" s="11" t="n">
        <v>9402</v>
      </c>
      <c r="K49" s="11" t="s">
        <v>22</v>
      </c>
      <c r="L49" s="11"/>
      <c r="M49" s="11" t="s">
        <v>1471</v>
      </c>
      <c r="N49" s="24" t="n">
        <v>45852</v>
      </c>
      <c r="O49" s="25" t="n">
        <f aca="false">INT((N49-D49)/365.25)</f>
        <v>22</v>
      </c>
      <c r="P49" s="12" t="s">
        <v>22</v>
      </c>
    </row>
    <row r="50" customFormat="false" ht="15" hidden="false" customHeight="false" outlineLevel="0" collapsed="false">
      <c r="A50" s="51" t="n">
        <v>47</v>
      </c>
      <c r="B50" s="10"/>
      <c r="C50" s="11" t="s">
        <v>1523</v>
      </c>
      <c r="D50" s="12" t="n">
        <v>38622</v>
      </c>
      <c r="E50" s="11" t="s">
        <v>1469</v>
      </c>
      <c r="F50" s="11" t="s">
        <v>151</v>
      </c>
      <c r="G50" s="11" t="s">
        <v>1524</v>
      </c>
      <c r="H50" s="11" t="n">
        <v>12273679</v>
      </c>
      <c r="I50" s="11" t="n">
        <v>24906</v>
      </c>
      <c r="J50" s="11" t="n">
        <v>9482</v>
      </c>
      <c r="K50" s="11" t="s">
        <v>30</v>
      </c>
      <c r="L50" s="11"/>
      <c r="M50" s="11" t="s">
        <v>1471</v>
      </c>
      <c r="N50" s="24" t="n">
        <v>45854</v>
      </c>
      <c r="O50" s="25" t="n">
        <f aca="false">INT((N50-D50)/365.25)</f>
        <v>19</v>
      </c>
      <c r="P50" s="12" t="s">
        <v>22</v>
      </c>
    </row>
    <row r="51" customFormat="false" ht="15" hidden="false" customHeight="false" outlineLevel="0" collapsed="false">
      <c r="A51" s="51" t="n">
        <v>48</v>
      </c>
      <c r="B51" s="10"/>
      <c r="C51" s="11" t="s">
        <v>1525</v>
      </c>
      <c r="D51" s="12" t="n">
        <v>33590</v>
      </c>
      <c r="E51" s="11" t="s">
        <v>1469</v>
      </c>
      <c r="F51" s="11" t="s">
        <v>151</v>
      </c>
      <c r="G51" s="11" t="s">
        <v>1526</v>
      </c>
      <c r="H51" s="11" t="n">
        <v>8229568</v>
      </c>
      <c r="I51" s="11" t="n">
        <v>4881</v>
      </c>
      <c r="J51" s="11" t="n">
        <v>97</v>
      </c>
      <c r="K51" s="11" t="s">
        <v>22</v>
      </c>
      <c r="L51" s="11"/>
      <c r="M51" s="11" t="s">
        <v>1471</v>
      </c>
      <c r="N51" s="24" t="n">
        <v>45848</v>
      </c>
      <c r="O51" s="25" t="n">
        <f aca="false">INT((N51-D51)/365.25)</f>
        <v>33</v>
      </c>
      <c r="P51" s="12" t="s">
        <v>22</v>
      </c>
    </row>
    <row r="52" customFormat="false" ht="15" hidden="false" customHeight="false" outlineLevel="0" collapsed="false">
      <c r="A52" s="51" t="n">
        <v>49</v>
      </c>
      <c r="B52" s="10"/>
      <c r="C52" s="11" t="s">
        <v>1529</v>
      </c>
      <c r="D52" s="12" t="n">
        <v>33454</v>
      </c>
      <c r="E52" s="11" t="s">
        <v>1469</v>
      </c>
      <c r="F52" s="11" t="s">
        <v>151</v>
      </c>
      <c r="G52" s="11" t="s">
        <v>1530</v>
      </c>
      <c r="H52" s="11" t="n">
        <v>7506093</v>
      </c>
      <c r="I52" s="11" t="n">
        <v>860298</v>
      </c>
      <c r="J52" s="11" t="n">
        <v>2488</v>
      </c>
      <c r="K52" s="11" t="s">
        <v>30</v>
      </c>
      <c r="L52" s="11"/>
      <c r="M52" s="11" t="s">
        <v>1471</v>
      </c>
      <c r="N52" s="24" t="n">
        <v>45848</v>
      </c>
      <c r="O52" s="25" t="n">
        <f aca="false">INT((N52-D52)/365.25)</f>
        <v>33</v>
      </c>
      <c r="P52" s="12" t="s">
        <v>22</v>
      </c>
    </row>
    <row r="53" customFormat="false" ht="15" hidden="false" customHeight="false" outlineLevel="0" collapsed="false">
      <c r="A53" s="51" t="n">
        <v>50</v>
      </c>
      <c r="B53" s="10"/>
      <c r="C53" s="11" t="s">
        <v>1531</v>
      </c>
      <c r="D53" s="12" t="n">
        <v>33239</v>
      </c>
      <c r="E53" s="11" t="s">
        <v>1469</v>
      </c>
      <c r="F53" s="11" t="s">
        <v>151</v>
      </c>
      <c r="G53" s="11" t="s">
        <v>1532</v>
      </c>
      <c r="H53" s="11" t="n">
        <v>3098861</v>
      </c>
      <c r="I53" s="11" t="n">
        <v>4480374</v>
      </c>
      <c r="J53" s="11" t="n">
        <v>50</v>
      </c>
      <c r="K53" s="11" t="s">
        <v>30</v>
      </c>
      <c r="L53" s="11"/>
      <c r="M53" s="11" t="s">
        <v>1471</v>
      </c>
      <c r="N53" s="24" t="n">
        <v>45848</v>
      </c>
      <c r="O53" s="25" t="n">
        <f aca="false">INT((N53-D53)/365.25)</f>
        <v>34</v>
      </c>
      <c r="P53" s="12" t="s">
        <v>22</v>
      </c>
    </row>
    <row r="54" customFormat="false" ht="15" hidden="false" customHeight="false" outlineLevel="0" collapsed="false">
      <c r="A54" s="51" t="n">
        <v>51</v>
      </c>
      <c r="B54" s="10"/>
      <c r="C54" s="11" t="s">
        <v>1533</v>
      </c>
      <c r="D54" s="12" t="n">
        <v>34210</v>
      </c>
      <c r="E54" s="11" t="s">
        <v>1469</v>
      </c>
      <c r="F54" s="11" t="s">
        <v>151</v>
      </c>
      <c r="G54" s="11" t="s">
        <v>1534</v>
      </c>
      <c r="H54" s="11" t="n">
        <v>8597960</v>
      </c>
      <c r="I54" s="11" t="n">
        <v>77304</v>
      </c>
      <c r="J54" s="11" t="n">
        <v>106</v>
      </c>
      <c r="K54" s="11" t="s">
        <v>22</v>
      </c>
      <c r="L54" s="11"/>
      <c r="M54" s="11" t="s">
        <v>1471</v>
      </c>
      <c r="N54" s="24" t="n">
        <v>45848</v>
      </c>
      <c r="O54" s="25" t="n">
        <f aca="false">INT((N54-D54)/365.25)</f>
        <v>31</v>
      </c>
      <c r="P54" s="12" t="s">
        <v>22</v>
      </c>
    </row>
    <row r="55" customFormat="false" ht="15" hidden="false" customHeight="false" outlineLevel="0" collapsed="false">
      <c r="A55" s="51" t="n">
        <v>52</v>
      </c>
      <c r="B55" s="10" t="n">
        <v>855975</v>
      </c>
      <c r="C55" s="11" t="s">
        <v>1071</v>
      </c>
      <c r="D55" s="12" t="n">
        <v>35370</v>
      </c>
      <c r="E55" s="11" t="s">
        <v>1469</v>
      </c>
      <c r="F55" s="11" t="s">
        <v>151</v>
      </c>
      <c r="G55" s="11" t="s">
        <v>1072</v>
      </c>
      <c r="H55" s="11" t="n">
        <v>10265333</v>
      </c>
      <c r="I55" s="11" t="n">
        <v>8426655</v>
      </c>
      <c r="J55" s="11" t="n">
        <v>50</v>
      </c>
      <c r="K55" s="11" t="s">
        <v>30</v>
      </c>
      <c r="L55" s="11"/>
      <c r="M55" s="11" t="s">
        <v>1471</v>
      </c>
      <c r="N55" s="24" t="n">
        <v>45848</v>
      </c>
      <c r="O55" s="25" t="n">
        <f aca="false">INT((N55-D55)/365.25)</f>
        <v>28</v>
      </c>
      <c r="P55" s="12" t="s">
        <v>22</v>
      </c>
    </row>
    <row r="56" customFormat="false" ht="15" hidden="false" customHeight="false" outlineLevel="0" collapsed="false">
      <c r="A56" s="51" t="n">
        <v>53</v>
      </c>
      <c r="B56" s="10" t="n">
        <v>854799</v>
      </c>
      <c r="C56" s="11" t="s">
        <v>1073</v>
      </c>
      <c r="D56" s="12" t="n">
        <v>32771</v>
      </c>
      <c r="E56" s="11" t="s">
        <v>1469</v>
      </c>
      <c r="F56" s="11" t="s">
        <v>151</v>
      </c>
      <c r="G56" s="11" t="s">
        <v>1074</v>
      </c>
      <c r="H56" s="11" t="n">
        <v>8245071</v>
      </c>
      <c r="I56" s="11" t="n">
        <v>900521</v>
      </c>
      <c r="J56" s="11" t="n">
        <v>6433</v>
      </c>
      <c r="K56" s="11" t="s">
        <v>30</v>
      </c>
      <c r="L56" s="11"/>
      <c r="M56" s="11" t="s">
        <v>1471</v>
      </c>
      <c r="N56" s="24" t="n">
        <v>45848</v>
      </c>
      <c r="O56" s="25" t="n">
        <f aca="false">INT((N56-D56)/365.25)</f>
        <v>35</v>
      </c>
      <c r="P56" s="12" t="s">
        <v>22</v>
      </c>
    </row>
  </sheetData>
  <mergeCells count="1">
    <mergeCell ref="A1:P2"/>
  </mergeCells>
  <conditionalFormatting sqref="O5:O56">
    <cfRule type="colorScale" priority="2">
      <colorScale>
        <cfvo type="num" val="17"/>
        <cfvo type="num" val="18"/>
        <color rgb="FFFF0000"/>
        <color rgb="FF92D050"/>
      </colorScale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19" activeCellId="0" sqref="D19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6.86"/>
    <col collapsed="false" customWidth="true" hidden="false" outlineLevel="0" max="3" min="3" style="0" width="33"/>
    <col collapsed="false" customWidth="true" hidden="false" outlineLevel="0" max="4" min="4" style="0" width="10"/>
    <col collapsed="false" customWidth="true" hidden="false" outlineLevel="0" max="5" min="5" style="0" width="16.43"/>
    <col collapsed="false" customWidth="true" hidden="false" outlineLevel="0" max="6" min="6" style="0" width="6.43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8.14"/>
    <col collapsed="false" customWidth="true" hidden="false" outlineLevel="0" max="10" min="10" style="0" width="5"/>
    <col collapsed="false" customWidth="true" hidden="true" outlineLevel="0" max="11" min="11" style="0" width="6.14"/>
    <col collapsed="false" customWidth="true" hidden="false" outlineLevel="0" max="12" min="12" style="0" width="11.57"/>
    <col collapsed="false" customWidth="true" hidden="false" outlineLevel="0" max="13" min="13" style="0" width="17.29"/>
    <col collapsed="false" customWidth="true" hidden="false" outlineLevel="0" max="14" min="14" style="0" width="9.29"/>
    <col collapsed="false" customWidth="true" hidden="false" outlineLevel="0" max="15" min="15" style="0" width="5.71"/>
    <col collapsed="false" customWidth="true" hidden="false" outlineLevel="0" max="16" min="16" style="0" width="6.29"/>
    <col collapsed="false" customWidth="true" hidden="false" outlineLevel="0" max="17" min="17" style="0" width="10.86"/>
  </cols>
  <sheetData>
    <row r="1" customFormat="false" ht="15" hidden="false" customHeight="false" outlineLevel="0" collapsed="false">
      <c r="A1" s="54" t="s">
        <v>1412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</row>
    <row r="2" customFormat="false" ht="15" hidden="false" customHeight="false" outlineLevel="0" collapsed="false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</row>
    <row r="3" customFormat="false" ht="15" hidden="false" customHeight="false" outlineLevel="0" collapsed="false">
      <c r="A3" s="43"/>
      <c r="B3" s="44" t="s">
        <v>1</v>
      </c>
      <c r="C3" s="44" t="s">
        <v>2</v>
      </c>
      <c r="D3" s="44" t="s">
        <v>3</v>
      </c>
      <c r="E3" s="44" t="s">
        <v>4</v>
      </c>
      <c r="F3" s="44" t="s">
        <v>5</v>
      </c>
      <c r="G3" s="45" t="s">
        <v>6</v>
      </c>
      <c r="H3" s="44" t="s">
        <v>7</v>
      </c>
      <c r="I3" s="44" t="s">
        <v>8</v>
      </c>
      <c r="J3" s="44" t="s">
        <v>9</v>
      </c>
      <c r="K3" s="44" t="s">
        <v>10</v>
      </c>
      <c r="L3" s="44" t="s">
        <v>1101</v>
      </c>
      <c r="M3" s="44" t="s">
        <v>11</v>
      </c>
      <c r="N3" s="44" t="s">
        <v>12</v>
      </c>
      <c r="O3" s="44" t="s">
        <v>13</v>
      </c>
      <c r="P3" s="44" t="s">
        <v>16</v>
      </c>
    </row>
    <row r="4" customFormat="false" ht="15" hidden="false" customHeight="false" outlineLevel="0" collapsed="false">
      <c r="A4" s="46"/>
      <c r="B4" s="47"/>
      <c r="C4" s="44" t="s">
        <v>1934</v>
      </c>
      <c r="D4" s="48"/>
      <c r="E4" s="47"/>
      <c r="F4" s="47"/>
      <c r="G4" s="47"/>
      <c r="H4" s="47"/>
      <c r="I4" s="47"/>
      <c r="J4" s="47"/>
      <c r="K4" s="47"/>
      <c r="L4" s="47"/>
      <c r="M4" s="49"/>
      <c r="N4" s="50"/>
      <c r="O4" s="44"/>
      <c r="P4" s="44"/>
    </row>
    <row r="5" customFormat="false" ht="15" hidden="false" customHeight="false" outlineLevel="0" collapsed="false">
      <c r="A5" s="51" t="n">
        <v>1</v>
      </c>
      <c r="B5" s="10" t="n">
        <v>846493</v>
      </c>
      <c r="C5" s="11" t="s">
        <v>1935</v>
      </c>
      <c r="D5" s="12" t="n">
        <v>35323</v>
      </c>
      <c r="E5" s="11" t="s">
        <v>1936</v>
      </c>
      <c r="F5" s="11" t="s">
        <v>151</v>
      </c>
      <c r="G5" s="11" t="s">
        <v>1937</v>
      </c>
      <c r="H5" s="11" t="n">
        <v>7124219</v>
      </c>
      <c r="I5" s="11" t="n">
        <v>1265354</v>
      </c>
      <c r="J5" s="11" t="n">
        <v>8470</v>
      </c>
      <c r="K5" s="11" t="s">
        <v>22</v>
      </c>
      <c r="L5" s="11" t="n">
        <v>87981286206</v>
      </c>
      <c r="M5" s="11" t="s">
        <v>1210</v>
      </c>
      <c r="N5" s="24" t="n">
        <v>45824</v>
      </c>
      <c r="O5" s="25" t="n">
        <f aca="false">INT((N5-D5)/365.25)</f>
        <v>28</v>
      </c>
      <c r="P5" s="12" t="s">
        <v>22</v>
      </c>
    </row>
    <row r="6" customFormat="false" ht="15" hidden="false" customHeight="false" outlineLevel="0" collapsed="false">
      <c r="A6" s="51" t="n">
        <v>2</v>
      </c>
      <c r="B6" s="10" t="n">
        <v>846495</v>
      </c>
      <c r="C6" s="11" t="s">
        <v>1938</v>
      </c>
      <c r="D6" s="12" t="n">
        <v>35637</v>
      </c>
      <c r="E6" s="11" t="s">
        <v>1936</v>
      </c>
      <c r="F6" s="11" t="s">
        <v>151</v>
      </c>
      <c r="G6" s="11" t="s">
        <v>1939</v>
      </c>
      <c r="H6" s="11" t="s">
        <v>1940</v>
      </c>
      <c r="I6" s="11" t="n">
        <v>7061145</v>
      </c>
      <c r="J6" s="11" t="n">
        <v>4475</v>
      </c>
      <c r="K6" s="11" t="s">
        <v>22</v>
      </c>
      <c r="L6" s="11" t="n">
        <v>87981207008</v>
      </c>
      <c r="M6" s="11" t="s">
        <v>1210</v>
      </c>
      <c r="N6" s="24" t="n">
        <v>45824</v>
      </c>
      <c r="O6" s="25" t="n">
        <f aca="false">INT((N6-D6)/365.25)</f>
        <v>27</v>
      </c>
      <c r="P6" s="12" t="s">
        <v>22</v>
      </c>
    </row>
    <row r="7" customFormat="false" ht="15" hidden="false" customHeight="false" outlineLevel="0" collapsed="false">
      <c r="A7" s="51" t="n">
        <v>3</v>
      </c>
      <c r="B7" s="10" t="n">
        <v>572380</v>
      </c>
      <c r="C7" s="53" t="s">
        <v>1941</v>
      </c>
      <c r="D7" s="12" t="n">
        <v>34664</v>
      </c>
      <c r="E7" s="11" t="s">
        <v>1942</v>
      </c>
      <c r="F7" s="11" t="s">
        <v>19</v>
      </c>
      <c r="G7" s="11" t="s">
        <v>1943</v>
      </c>
      <c r="H7" s="11" t="s">
        <v>1944</v>
      </c>
      <c r="I7" s="11" t="n">
        <v>9217153</v>
      </c>
      <c r="J7" s="11" t="n">
        <v>30</v>
      </c>
      <c r="K7" s="11" t="s">
        <v>22</v>
      </c>
      <c r="L7" s="11" t="n">
        <v>34991343127</v>
      </c>
      <c r="M7" s="11" t="s">
        <v>1210</v>
      </c>
      <c r="N7" s="24" t="n">
        <v>45824</v>
      </c>
      <c r="O7" s="25" t="n">
        <f aca="false">INT((N7-D7)/365.25)</f>
        <v>30</v>
      </c>
      <c r="P7" s="12" t="s">
        <v>22</v>
      </c>
    </row>
    <row r="8" customFormat="false" ht="15" hidden="false" customHeight="false" outlineLevel="0" collapsed="false">
      <c r="A8" s="51" t="n">
        <v>4</v>
      </c>
      <c r="B8" s="10" t="n">
        <v>869539</v>
      </c>
      <c r="C8" s="11" t="s">
        <v>1945</v>
      </c>
      <c r="D8" s="12" t="n">
        <v>39003</v>
      </c>
      <c r="E8" s="11" t="s">
        <v>1936</v>
      </c>
      <c r="F8" s="11" t="s">
        <v>151</v>
      </c>
      <c r="G8" s="11" t="s">
        <v>1946</v>
      </c>
      <c r="H8" s="11" t="n">
        <v>96724495</v>
      </c>
      <c r="I8" s="11" t="n">
        <v>9672</v>
      </c>
      <c r="J8" s="11" t="n">
        <v>2495</v>
      </c>
      <c r="K8" s="11" t="s">
        <v>22</v>
      </c>
      <c r="L8" s="11" t="n">
        <v>87981442682</v>
      </c>
      <c r="M8" s="11" t="s">
        <v>1210</v>
      </c>
      <c r="N8" s="24" t="n">
        <v>45824</v>
      </c>
      <c r="O8" s="25" t="n">
        <f aca="false">INT((N8-D8)/365.25)</f>
        <v>18</v>
      </c>
      <c r="P8" s="12" t="s">
        <v>22</v>
      </c>
    </row>
    <row r="9" customFormat="false" ht="15" hidden="false" customHeight="false" outlineLevel="0" collapsed="false">
      <c r="A9" s="51" t="n">
        <v>5</v>
      </c>
      <c r="B9" s="10" t="n">
        <v>872310</v>
      </c>
      <c r="C9" s="11" t="s">
        <v>1947</v>
      </c>
      <c r="D9" s="12" t="n">
        <v>34447</v>
      </c>
      <c r="E9" s="11" t="s">
        <v>1942</v>
      </c>
      <c r="F9" s="11" t="s">
        <v>19</v>
      </c>
      <c r="G9" s="11" t="s">
        <v>1948</v>
      </c>
      <c r="H9" s="11" t="n">
        <v>2759242</v>
      </c>
      <c r="I9" s="11" t="n">
        <v>6234322</v>
      </c>
      <c r="J9" s="11" t="n">
        <v>30</v>
      </c>
      <c r="K9" s="11" t="s">
        <v>22</v>
      </c>
      <c r="L9" s="11" t="n">
        <v>84991388714</v>
      </c>
      <c r="M9" s="11" t="s">
        <v>1210</v>
      </c>
      <c r="N9" s="24" t="n">
        <v>45824</v>
      </c>
      <c r="O9" s="25" t="n">
        <f aca="false">INT((N9-D9)/365.25)</f>
        <v>31</v>
      </c>
      <c r="P9" s="12" t="s">
        <v>22</v>
      </c>
    </row>
    <row r="10" customFormat="false" ht="15" hidden="false" customHeight="false" outlineLevel="0" collapsed="false">
      <c r="A10" s="51" t="n">
        <v>6</v>
      </c>
      <c r="B10" s="10" t="n">
        <v>849491</v>
      </c>
      <c r="C10" s="11" t="s">
        <v>1949</v>
      </c>
      <c r="D10" s="12" t="n">
        <v>35652</v>
      </c>
      <c r="E10" s="11" t="s">
        <v>1942</v>
      </c>
      <c r="F10" s="11" t="s">
        <v>19</v>
      </c>
      <c r="G10" s="11" t="s">
        <v>1950</v>
      </c>
      <c r="H10" s="11" t="s">
        <v>1951</v>
      </c>
      <c r="I10" s="11" t="n">
        <v>6312406</v>
      </c>
      <c r="J10" s="11" t="n">
        <v>326</v>
      </c>
      <c r="K10" s="11" t="s">
        <v>22</v>
      </c>
      <c r="L10" s="11"/>
      <c r="M10" s="11" t="s">
        <v>1210</v>
      </c>
      <c r="N10" s="24" t="n">
        <v>45824</v>
      </c>
      <c r="O10" s="25" t="n">
        <f aca="false">INT((N10-D10)/365.25)</f>
        <v>27</v>
      </c>
      <c r="P10" s="12" t="s">
        <v>22</v>
      </c>
    </row>
    <row r="11" customFormat="false" ht="15" hidden="false" customHeight="false" outlineLevel="0" collapsed="false">
      <c r="A11" s="51" t="n">
        <v>7</v>
      </c>
      <c r="B11" s="10" t="n">
        <v>872306</v>
      </c>
      <c r="C11" s="11" t="s">
        <v>1952</v>
      </c>
      <c r="D11" s="12" t="n">
        <v>35441</v>
      </c>
      <c r="E11" s="11" t="s">
        <v>1942</v>
      </c>
      <c r="F11" s="11" t="s">
        <v>19</v>
      </c>
      <c r="G11" s="11" t="s">
        <v>1953</v>
      </c>
      <c r="H11" s="11" t="n">
        <v>3407051</v>
      </c>
      <c r="I11" s="11" t="n">
        <v>1316461</v>
      </c>
      <c r="J11" s="11" t="n">
        <v>7429</v>
      </c>
      <c r="K11" s="11" t="s">
        <v>22</v>
      </c>
      <c r="L11" s="11" t="n">
        <v>84996392924</v>
      </c>
      <c r="M11" s="11" t="s">
        <v>1210</v>
      </c>
      <c r="N11" s="24" t="n">
        <v>45824</v>
      </c>
      <c r="O11" s="25" t="n">
        <f aca="false">INT((N11-D11)/365.25)</f>
        <v>28</v>
      </c>
      <c r="P11" s="12" t="s">
        <v>22</v>
      </c>
    </row>
    <row r="12" customFormat="false" ht="15" hidden="false" customHeight="false" outlineLevel="0" collapsed="false">
      <c r="A12" s="51" t="n">
        <v>8</v>
      </c>
      <c r="B12" s="10" t="n">
        <v>872307</v>
      </c>
      <c r="C12" s="11" t="s">
        <v>1954</v>
      </c>
      <c r="D12" s="12" t="n">
        <v>37471</v>
      </c>
      <c r="E12" s="11" t="s">
        <v>1942</v>
      </c>
      <c r="F12" s="11" t="s">
        <v>19</v>
      </c>
      <c r="G12" s="11" t="s">
        <v>1955</v>
      </c>
      <c r="H12" s="11" t="s">
        <v>1956</v>
      </c>
      <c r="I12" s="11" t="n">
        <v>951190</v>
      </c>
      <c r="J12" s="11" t="n">
        <v>5392</v>
      </c>
      <c r="K12" s="11" t="s">
        <v>22</v>
      </c>
      <c r="L12" s="11" t="n">
        <v>88996018322</v>
      </c>
      <c r="M12" s="11" t="s">
        <v>1210</v>
      </c>
      <c r="N12" s="24" t="n">
        <v>45824</v>
      </c>
      <c r="O12" s="25" t="n">
        <f aca="false">INT((N12-D12)/365.25)</f>
        <v>22</v>
      </c>
      <c r="P12" s="12" t="s">
        <v>22</v>
      </c>
    </row>
    <row r="13" customFormat="false" ht="15" hidden="false" customHeight="false" outlineLevel="0" collapsed="false">
      <c r="A13" s="51" t="n">
        <v>9</v>
      </c>
      <c r="B13" s="10" t="n">
        <v>869541</v>
      </c>
      <c r="C13" s="11" t="s">
        <v>1957</v>
      </c>
      <c r="D13" s="12" t="n">
        <v>34183</v>
      </c>
      <c r="E13" s="11" t="s">
        <v>1958</v>
      </c>
      <c r="F13" s="11" t="s">
        <v>138</v>
      </c>
      <c r="G13" s="11" t="s">
        <v>1959</v>
      </c>
      <c r="H13" s="11" t="n">
        <v>1623666635</v>
      </c>
      <c r="I13" s="11" t="n">
        <v>8594467</v>
      </c>
      <c r="J13" s="11" t="n">
        <v>6566</v>
      </c>
      <c r="K13" s="11" t="s">
        <v>22</v>
      </c>
      <c r="L13" s="11" t="n">
        <v>74999862944</v>
      </c>
      <c r="M13" s="11" t="s">
        <v>1210</v>
      </c>
      <c r="N13" s="24" t="n">
        <v>45824</v>
      </c>
      <c r="O13" s="25" t="n">
        <f aca="false">INT((N13-D13)/365.25)</f>
        <v>31</v>
      </c>
      <c r="P13" s="12" t="s">
        <v>22</v>
      </c>
    </row>
    <row r="14" customFormat="false" ht="15" hidden="false" customHeight="false" outlineLevel="0" collapsed="false">
      <c r="A14" s="51" t="n">
        <v>10</v>
      </c>
      <c r="B14" s="10" t="n">
        <v>870508</v>
      </c>
      <c r="C14" s="10" t="s">
        <v>1960</v>
      </c>
      <c r="D14" s="12" t="n">
        <v>38669</v>
      </c>
      <c r="E14" s="11" t="s">
        <v>1936</v>
      </c>
      <c r="F14" s="11" t="s">
        <v>151</v>
      </c>
      <c r="G14" s="11" t="s">
        <v>1961</v>
      </c>
      <c r="H14" s="11" t="s">
        <v>1962</v>
      </c>
      <c r="I14" s="11" t="n">
        <v>1301192</v>
      </c>
      <c r="J14" s="11" t="n">
        <v>4490</v>
      </c>
      <c r="K14" s="11" t="s">
        <v>22</v>
      </c>
      <c r="L14" s="11" t="n">
        <v>87981718945</v>
      </c>
      <c r="M14" s="11" t="s">
        <v>1210</v>
      </c>
      <c r="N14" s="24" t="n">
        <v>45824</v>
      </c>
      <c r="O14" s="25" t="n">
        <f aca="false">INT((N14-D14)/365.25)</f>
        <v>19</v>
      </c>
      <c r="P14" s="12" t="s">
        <v>22</v>
      </c>
    </row>
    <row r="15" customFormat="false" ht="15" hidden="false" customHeight="false" outlineLevel="0" collapsed="false">
      <c r="A15" s="51" t="n">
        <v>11</v>
      </c>
      <c r="B15" s="10" t="n">
        <v>869542</v>
      </c>
      <c r="C15" s="11" t="s">
        <v>1963</v>
      </c>
      <c r="D15" s="12" t="n">
        <v>32909</v>
      </c>
      <c r="E15" s="11" t="s">
        <v>1942</v>
      </c>
      <c r="F15" s="11" t="s">
        <v>19</v>
      </c>
      <c r="G15" s="11" t="s">
        <v>1964</v>
      </c>
      <c r="H15" s="11" t="s">
        <v>1965</v>
      </c>
      <c r="I15" s="11" t="n">
        <v>6072266</v>
      </c>
      <c r="J15" s="11" t="n">
        <v>6306</v>
      </c>
      <c r="K15" s="11" t="s">
        <v>22</v>
      </c>
      <c r="L15" s="11" t="n">
        <v>99991771701</v>
      </c>
      <c r="M15" s="11" t="s">
        <v>1210</v>
      </c>
      <c r="N15" s="24" t="n">
        <v>45824</v>
      </c>
      <c r="O15" s="25" t="n">
        <f aca="false">INT((N15-D15)/365.25)</f>
        <v>35</v>
      </c>
      <c r="P15" s="12" t="s">
        <v>22</v>
      </c>
    </row>
    <row r="16" customFormat="false" ht="15" hidden="false" customHeight="false" outlineLevel="0" collapsed="false">
      <c r="A16" s="51" t="n">
        <v>12</v>
      </c>
      <c r="B16" s="10" t="n">
        <v>872302</v>
      </c>
      <c r="C16" s="11" t="s">
        <v>1966</v>
      </c>
      <c r="D16" s="12" t="n">
        <v>37192</v>
      </c>
      <c r="E16" s="11" t="s">
        <v>1936</v>
      </c>
      <c r="F16" s="11" t="s">
        <v>151</v>
      </c>
      <c r="G16" s="11" t="s">
        <v>1967</v>
      </c>
      <c r="H16" s="11" t="n">
        <v>8215632</v>
      </c>
      <c r="I16" s="11" t="n">
        <v>1420087</v>
      </c>
      <c r="J16" s="11" t="n">
        <v>5411</v>
      </c>
      <c r="K16" s="11" t="s">
        <v>22</v>
      </c>
      <c r="L16" s="11" t="n">
        <v>87981303822</v>
      </c>
      <c r="M16" s="11" t="s">
        <v>1210</v>
      </c>
      <c r="N16" s="24" t="n">
        <v>45824</v>
      </c>
      <c r="O16" s="25" t="n">
        <f aca="false">INT((N16-D16)/365.25)</f>
        <v>23</v>
      </c>
      <c r="P16" s="12" t="s">
        <v>22</v>
      </c>
    </row>
    <row r="17" customFormat="false" ht="15" hidden="false" customHeight="false" outlineLevel="0" collapsed="false">
      <c r="A17" s="51" t="n">
        <v>13</v>
      </c>
      <c r="B17" s="10" t="n">
        <v>869548</v>
      </c>
      <c r="C17" s="11" t="s">
        <v>1968</v>
      </c>
      <c r="D17" s="12" t="n">
        <v>36748</v>
      </c>
      <c r="E17" s="11" t="s">
        <v>1958</v>
      </c>
      <c r="F17" s="11" t="s">
        <v>138</v>
      </c>
      <c r="G17" s="11" t="s">
        <v>1969</v>
      </c>
      <c r="H17" s="11" t="n">
        <v>1671849101</v>
      </c>
      <c r="I17" s="11" t="n">
        <v>5633517</v>
      </c>
      <c r="J17" s="11" t="n">
        <v>8818</v>
      </c>
      <c r="K17" s="11" t="s">
        <v>22</v>
      </c>
      <c r="L17" s="11" t="n">
        <v>77998414566</v>
      </c>
      <c r="M17" s="11" t="s">
        <v>1210</v>
      </c>
      <c r="N17" s="24" t="n">
        <v>45824</v>
      </c>
      <c r="O17" s="25" t="n">
        <f aca="false">INT((N17-D17)/365.25)</f>
        <v>24</v>
      </c>
      <c r="P17" s="12" t="s">
        <v>22</v>
      </c>
    </row>
    <row r="18" customFormat="false" ht="15" hidden="false" customHeight="false" outlineLevel="0" collapsed="false">
      <c r="A18" s="51" t="n">
        <v>14</v>
      </c>
      <c r="B18" s="10" t="n">
        <v>872304</v>
      </c>
      <c r="C18" s="11" t="s">
        <v>1970</v>
      </c>
      <c r="D18" s="12" t="n">
        <v>31216</v>
      </c>
      <c r="E18" s="11" t="s">
        <v>1936</v>
      </c>
      <c r="F18" s="11" t="s">
        <v>151</v>
      </c>
      <c r="G18" s="11" t="s">
        <v>1971</v>
      </c>
      <c r="H18" s="11" t="n">
        <v>7539887</v>
      </c>
      <c r="I18" s="11" t="n">
        <v>813299</v>
      </c>
      <c r="J18" s="11" t="n">
        <v>1443</v>
      </c>
      <c r="K18" s="11" t="s">
        <v>22</v>
      </c>
      <c r="L18" s="11" t="n">
        <v>87981512048</v>
      </c>
      <c r="M18" s="11" t="s">
        <v>1210</v>
      </c>
      <c r="N18" s="24" t="n">
        <v>45824</v>
      </c>
      <c r="O18" s="25" t="n">
        <f aca="false">INT((N18-D18)/365.25)</f>
        <v>39</v>
      </c>
      <c r="P18" s="12" t="s">
        <v>22</v>
      </c>
    </row>
    <row r="19" customFormat="false" ht="15" hidden="false" customHeight="false" outlineLevel="0" collapsed="false">
      <c r="A19" s="51" t="n">
        <v>15</v>
      </c>
      <c r="B19" s="10" t="n">
        <v>872301</v>
      </c>
      <c r="C19" s="11" t="s">
        <v>1972</v>
      </c>
      <c r="D19" s="12" t="n">
        <v>39166</v>
      </c>
      <c r="E19" s="11" t="s">
        <v>1936</v>
      </c>
      <c r="F19" s="11" t="s">
        <v>151</v>
      </c>
      <c r="G19" s="11" t="s">
        <v>1973</v>
      </c>
      <c r="H19" s="11" t="s">
        <v>1974</v>
      </c>
      <c r="I19" s="11" t="n">
        <v>1831339</v>
      </c>
      <c r="J19" s="11" t="n">
        <v>484</v>
      </c>
      <c r="K19" s="11" t="s">
        <v>22</v>
      </c>
      <c r="L19" s="11" t="n">
        <v>87981816893</v>
      </c>
      <c r="M19" s="11" t="s">
        <v>1210</v>
      </c>
      <c r="N19" s="24" t="n">
        <v>45824</v>
      </c>
      <c r="O19" s="25" t="n">
        <f aca="false">INT((N19-D19)/365.25)</f>
        <v>18</v>
      </c>
      <c r="P19" s="12" t="s">
        <v>22</v>
      </c>
    </row>
    <row r="20" customFormat="false" ht="15" hidden="false" customHeight="false" outlineLevel="0" collapsed="false">
      <c r="A20" s="51" t="n">
        <v>16</v>
      </c>
      <c r="B20" s="10" t="n">
        <v>869553</v>
      </c>
      <c r="C20" s="11" t="s">
        <v>1975</v>
      </c>
      <c r="D20" s="12" t="n">
        <v>35151</v>
      </c>
      <c r="E20" s="11" t="s">
        <v>1936</v>
      </c>
      <c r="F20" s="11" t="s">
        <v>151</v>
      </c>
      <c r="G20" s="11" t="s">
        <v>1976</v>
      </c>
      <c r="H20" s="11" t="n">
        <v>4187021</v>
      </c>
      <c r="I20" s="11" t="n">
        <v>7076733</v>
      </c>
      <c r="J20" s="11" t="n">
        <v>2423</v>
      </c>
      <c r="K20" s="11" t="s">
        <v>22</v>
      </c>
      <c r="L20" s="11" t="n">
        <v>87981614408</v>
      </c>
      <c r="M20" s="11" t="s">
        <v>1210</v>
      </c>
      <c r="N20" s="24" t="n">
        <v>45824</v>
      </c>
      <c r="O20" s="25" t="n">
        <f aca="false">INT((N20-D20)/365.25)</f>
        <v>29</v>
      </c>
      <c r="P20" s="12" t="s">
        <v>22</v>
      </c>
    </row>
    <row r="21" customFormat="false" ht="15" hidden="false" customHeight="false" outlineLevel="0" collapsed="false">
      <c r="A21" s="51" t="n">
        <v>17</v>
      </c>
      <c r="B21" s="10" t="n">
        <v>872357</v>
      </c>
      <c r="C21" s="11" t="s">
        <v>1977</v>
      </c>
      <c r="D21" s="12" t="n">
        <v>27516</v>
      </c>
      <c r="E21" s="11" t="s">
        <v>1978</v>
      </c>
      <c r="F21" s="11" t="s">
        <v>19</v>
      </c>
      <c r="G21" s="11" t="s">
        <v>1979</v>
      </c>
      <c r="H21" s="11" t="s">
        <v>1980</v>
      </c>
      <c r="I21" s="11" t="n">
        <v>493275</v>
      </c>
      <c r="J21" s="11" t="n">
        <v>6577</v>
      </c>
      <c r="K21" s="11" t="s">
        <v>22</v>
      </c>
      <c r="L21" s="11" t="n">
        <v>77998547669</v>
      </c>
      <c r="M21" s="11" t="s">
        <v>1210</v>
      </c>
      <c r="N21" s="24" t="n">
        <v>45824</v>
      </c>
      <c r="O21" s="25" t="n">
        <f aca="false">INT((N21-D21)/365.25)</f>
        <v>50</v>
      </c>
      <c r="P21" s="12" t="s">
        <v>22</v>
      </c>
    </row>
    <row r="22" customFormat="false" ht="15" hidden="false" customHeight="false" outlineLevel="0" collapsed="false">
      <c r="A22" s="51" t="n">
        <v>18</v>
      </c>
      <c r="B22" s="10" t="n">
        <v>847855</v>
      </c>
      <c r="C22" s="11" t="s">
        <v>1981</v>
      </c>
      <c r="D22" s="12" t="n">
        <v>36296</v>
      </c>
      <c r="E22" s="11" t="s">
        <v>1942</v>
      </c>
      <c r="F22" s="11" t="s">
        <v>19</v>
      </c>
      <c r="G22" s="11" t="s">
        <v>1982</v>
      </c>
      <c r="H22" s="11" t="s">
        <v>1983</v>
      </c>
      <c r="I22" s="11" t="n">
        <v>958799</v>
      </c>
      <c r="J22" s="11" t="n">
        <v>2377</v>
      </c>
      <c r="K22" s="11" t="s">
        <v>22</v>
      </c>
      <c r="L22" s="11" t="n">
        <v>88999176972</v>
      </c>
      <c r="M22" s="11" t="s">
        <v>1210</v>
      </c>
      <c r="N22" s="24" t="n">
        <v>45824</v>
      </c>
      <c r="O22" s="25" t="n">
        <f aca="false">INT((N22-D22)/365.25)</f>
        <v>26</v>
      </c>
      <c r="P22" s="12" t="s">
        <v>22</v>
      </c>
    </row>
    <row r="23" customFormat="false" ht="15" hidden="false" customHeight="false" outlineLevel="0" collapsed="false">
      <c r="A23" s="51" t="n">
        <v>19</v>
      </c>
      <c r="B23" s="10" t="n">
        <v>848461</v>
      </c>
      <c r="C23" s="11" t="s">
        <v>1984</v>
      </c>
      <c r="D23" s="12" t="n">
        <v>37397</v>
      </c>
      <c r="E23" s="11" t="s">
        <v>1936</v>
      </c>
      <c r="F23" s="11" t="s">
        <v>151</v>
      </c>
      <c r="G23" s="11" t="s">
        <v>1985</v>
      </c>
      <c r="H23" s="11" t="n">
        <v>11411862</v>
      </c>
      <c r="I23" s="11" t="n">
        <v>1702842</v>
      </c>
      <c r="J23" s="11" t="n">
        <v>7463</v>
      </c>
      <c r="K23" s="11" t="s">
        <v>22</v>
      </c>
      <c r="L23" s="11" t="n">
        <v>87981241073</v>
      </c>
      <c r="M23" s="11" t="s">
        <v>1210</v>
      </c>
      <c r="N23" s="24" t="n">
        <v>45824</v>
      </c>
      <c r="O23" s="25" t="n">
        <f aca="false">INT((N23-D23)/365.25)</f>
        <v>23</v>
      </c>
      <c r="P23" s="12" t="s">
        <v>22</v>
      </c>
    </row>
    <row r="24" customFormat="false" ht="15" hidden="false" customHeight="false" outlineLevel="0" collapsed="false">
      <c r="A24" s="51" t="n">
        <v>20</v>
      </c>
      <c r="B24" s="10" t="n">
        <v>870173</v>
      </c>
      <c r="C24" s="11" t="s">
        <v>1986</v>
      </c>
      <c r="D24" s="12" t="n">
        <v>37146</v>
      </c>
      <c r="E24" s="11" t="s">
        <v>1936</v>
      </c>
      <c r="F24" s="11" t="s">
        <v>151</v>
      </c>
      <c r="G24" s="11" t="s">
        <v>1987</v>
      </c>
      <c r="H24" s="11" t="n">
        <v>12082354</v>
      </c>
      <c r="I24" s="11" t="n">
        <v>1471420</v>
      </c>
      <c r="J24" s="11" t="n">
        <v>3452</v>
      </c>
      <c r="K24" s="11" t="s">
        <v>22</v>
      </c>
      <c r="L24" s="11" t="n">
        <v>87996274608</v>
      </c>
      <c r="M24" s="11" t="s">
        <v>1210</v>
      </c>
      <c r="N24" s="24" t="n">
        <v>45824</v>
      </c>
      <c r="O24" s="25" t="n">
        <f aca="false">INT((N24-D24)/365.25)</f>
        <v>23</v>
      </c>
      <c r="P24" s="12" t="s">
        <v>22</v>
      </c>
    </row>
    <row r="25" customFormat="false" ht="15" hidden="false" customHeight="false" outlineLevel="0" collapsed="false">
      <c r="A25" s="51" t="n">
        <v>21</v>
      </c>
      <c r="B25" s="10" t="n">
        <v>872298</v>
      </c>
      <c r="C25" s="11" t="s">
        <v>1988</v>
      </c>
      <c r="D25" s="12" t="n">
        <v>34078</v>
      </c>
      <c r="E25" s="11" t="s">
        <v>1942</v>
      </c>
      <c r="F25" s="11" t="s">
        <v>19</v>
      </c>
      <c r="G25" s="11" t="s">
        <v>1989</v>
      </c>
      <c r="H25" s="11" t="n">
        <v>3237145</v>
      </c>
      <c r="I25" s="11" t="n">
        <v>7004724</v>
      </c>
      <c r="J25" s="11" t="n">
        <v>8408</v>
      </c>
      <c r="K25" s="11" t="s">
        <v>22</v>
      </c>
      <c r="L25" s="11" t="n">
        <v>84999997984</v>
      </c>
      <c r="M25" s="11" t="s">
        <v>1210</v>
      </c>
      <c r="N25" s="24" t="n">
        <v>45824</v>
      </c>
      <c r="O25" s="25" t="n">
        <f aca="false">INT((N25-D25)/365.25)</f>
        <v>32</v>
      </c>
      <c r="P25" s="12" t="s">
        <v>22</v>
      </c>
    </row>
    <row r="26" customFormat="false" ht="15" hidden="false" customHeight="false" outlineLevel="0" collapsed="false">
      <c r="A26" s="51" t="n">
        <v>22</v>
      </c>
      <c r="B26" s="10" t="n">
        <v>869559</v>
      </c>
      <c r="C26" s="11" t="s">
        <v>1990</v>
      </c>
      <c r="D26" s="12" t="n">
        <v>33741</v>
      </c>
      <c r="E26" s="11" t="s">
        <v>1991</v>
      </c>
      <c r="F26" s="11" t="s">
        <v>1992</v>
      </c>
      <c r="G26" s="11" t="s">
        <v>1993</v>
      </c>
      <c r="H26" s="11" t="s">
        <v>1994</v>
      </c>
      <c r="I26" s="11" t="n">
        <v>608325</v>
      </c>
      <c r="J26" s="11" t="n">
        <v>2369</v>
      </c>
      <c r="K26" s="11" t="s">
        <v>22</v>
      </c>
      <c r="L26" s="11" t="n">
        <v>19981310848</v>
      </c>
      <c r="M26" s="11" t="s">
        <v>1210</v>
      </c>
      <c r="N26" s="24" t="n">
        <v>45824</v>
      </c>
      <c r="O26" s="25" t="n">
        <f aca="false">INT((N26-D26)/365.25)</f>
        <v>33</v>
      </c>
      <c r="P26" s="12" t="s">
        <v>22</v>
      </c>
    </row>
    <row r="27" customFormat="false" ht="15" hidden="false" customHeight="false" outlineLevel="0" collapsed="false">
      <c r="A27" s="51" t="n">
        <v>23</v>
      </c>
      <c r="B27" s="10" t="n">
        <v>869560</v>
      </c>
      <c r="C27" s="11" t="s">
        <v>1995</v>
      </c>
      <c r="D27" s="12" t="n">
        <v>37202</v>
      </c>
      <c r="E27" s="11" t="s">
        <v>1991</v>
      </c>
      <c r="F27" s="11" t="s">
        <v>1992</v>
      </c>
      <c r="G27" s="11" t="s">
        <v>1996</v>
      </c>
      <c r="H27" s="11" t="s">
        <v>1997</v>
      </c>
      <c r="I27" s="11" t="n">
        <v>871497</v>
      </c>
      <c r="J27" s="11" t="n">
        <v>2395</v>
      </c>
      <c r="K27" s="11" t="s">
        <v>22</v>
      </c>
      <c r="L27" s="11" t="n">
        <v>62981244176</v>
      </c>
      <c r="M27" s="11" t="s">
        <v>1210</v>
      </c>
      <c r="N27" s="24" t="n">
        <v>45824</v>
      </c>
      <c r="O27" s="25" t="n">
        <f aca="false">INT((N27-D27)/365.25)</f>
        <v>23</v>
      </c>
      <c r="P27" s="12" t="s">
        <v>22</v>
      </c>
    </row>
    <row r="28" customFormat="false" ht="15" hidden="false" customHeight="false" outlineLevel="0" collapsed="false">
      <c r="A28" s="51" t="n">
        <v>24</v>
      </c>
      <c r="B28" s="10" t="n">
        <v>869584</v>
      </c>
      <c r="C28" s="11" t="s">
        <v>1998</v>
      </c>
      <c r="D28" s="12" t="n">
        <v>35396</v>
      </c>
      <c r="E28" s="11" t="s">
        <v>1999</v>
      </c>
      <c r="F28" s="11" t="s">
        <v>138</v>
      </c>
      <c r="G28" s="11" t="s">
        <v>2000</v>
      </c>
      <c r="H28" s="11" t="s">
        <v>2001</v>
      </c>
      <c r="I28" s="11" t="n">
        <v>6185296</v>
      </c>
      <c r="J28" s="11" t="n">
        <v>8370</v>
      </c>
      <c r="K28" s="11" t="s">
        <v>22</v>
      </c>
      <c r="L28" s="11" t="s">
        <v>2002</v>
      </c>
      <c r="M28" s="11" t="s">
        <v>1210</v>
      </c>
      <c r="N28" s="24" t="n">
        <v>45824</v>
      </c>
      <c r="O28" s="25" t="n">
        <f aca="false">INT((N28-D28)/365.25)</f>
        <v>28</v>
      </c>
      <c r="P28" s="12" t="s">
        <v>22</v>
      </c>
    </row>
    <row r="29" customFormat="false" ht="15" hidden="false" customHeight="false" outlineLevel="0" collapsed="false">
      <c r="A29" s="51" t="n">
        <v>25</v>
      </c>
      <c r="B29" s="10" t="n">
        <v>816790</v>
      </c>
      <c r="C29" s="11" t="s">
        <v>2003</v>
      </c>
      <c r="D29" s="12" t="n">
        <v>35825</v>
      </c>
      <c r="E29" s="11" t="s">
        <v>1978</v>
      </c>
      <c r="F29" s="11" t="s">
        <v>19</v>
      </c>
      <c r="G29" s="11" t="s">
        <v>2004</v>
      </c>
      <c r="H29" s="11" t="n">
        <v>20085254139</v>
      </c>
      <c r="I29" s="11" t="n">
        <v>5914324</v>
      </c>
      <c r="J29" s="11" t="n">
        <v>50</v>
      </c>
      <c r="K29" s="11" t="s">
        <v>22</v>
      </c>
      <c r="L29" s="11" t="n">
        <v>88996580542</v>
      </c>
      <c r="M29" s="11" t="s">
        <v>1210</v>
      </c>
      <c r="N29" s="24" t="n">
        <v>45824</v>
      </c>
      <c r="O29" s="25" t="n">
        <f aca="false">INT((N29-D29)/365.25)</f>
        <v>27</v>
      </c>
      <c r="P29" s="12" t="s">
        <v>22</v>
      </c>
    </row>
    <row r="30" customFormat="false" ht="15" hidden="false" customHeight="false" outlineLevel="0" collapsed="false">
      <c r="A30" s="51" t="n">
        <v>26</v>
      </c>
      <c r="B30" s="10" t="n">
        <v>872297</v>
      </c>
      <c r="C30" s="11" t="s">
        <v>2005</v>
      </c>
      <c r="D30" s="12" t="n">
        <v>26891</v>
      </c>
      <c r="E30" s="11" t="s">
        <v>1978</v>
      </c>
      <c r="F30" s="11" t="s">
        <v>19</v>
      </c>
      <c r="G30" s="11" t="s">
        <v>2006</v>
      </c>
      <c r="H30" s="11" t="n">
        <v>98097101592</v>
      </c>
      <c r="I30" s="11" t="n">
        <v>6340716</v>
      </c>
      <c r="J30" s="11" t="n">
        <v>7334</v>
      </c>
      <c r="K30" s="11" t="s">
        <v>22</v>
      </c>
      <c r="L30" s="11" t="n">
        <v>88999150967</v>
      </c>
      <c r="M30" s="11" t="s">
        <v>1210</v>
      </c>
      <c r="N30" s="24" t="n">
        <v>45824</v>
      </c>
      <c r="O30" s="25" t="n">
        <f aca="false">INT((N30-D30)/365.25)</f>
        <v>51</v>
      </c>
      <c r="P30" s="12" t="s">
        <v>22</v>
      </c>
    </row>
    <row r="31" customFormat="false" ht="15" hidden="false" customHeight="false" outlineLevel="0" collapsed="false">
      <c r="A31" s="51" t="n">
        <v>27</v>
      </c>
      <c r="B31" s="10" t="n">
        <v>861445</v>
      </c>
      <c r="C31" s="11" t="s">
        <v>2007</v>
      </c>
      <c r="D31" s="12" t="n">
        <v>36858</v>
      </c>
      <c r="E31" s="11" t="s">
        <v>1936</v>
      </c>
      <c r="F31" s="11" t="s">
        <v>151</v>
      </c>
      <c r="G31" s="11" t="s">
        <v>2008</v>
      </c>
      <c r="H31" s="11" t="n">
        <v>12081018</v>
      </c>
      <c r="I31" s="11" t="n">
        <v>11652</v>
      </c>
      <c r="J31" s="11" t="n">
        <v>7480</v>
      </c>
      <c r="K31" s="11" t="s">
        <v>22</v>
      </c>
      <c r="L31" s="11" t="n">
        <v>87981503970</v>
      </c>
      <c r="M31" s="11" t="s">
        <v>1210</v>
      </c>
      <c r="N31" s="24" t="n">
        <v>45824</v>
      </c>
      <c r="O31" s="25" t="n">
        <f aca="false">INT((N31-D31)/365.25)</f>
        <v>24</v>
      </c>
      <c r="P31" s="12" t="s">
        <v>22</v>
      </c>
    </row>
    <row r="32" customFormat="false" ht="15" hidden="false" customHeight="false" outlineLevel="0" collapsed="false">
      <c r="A32" s="51" t="n">
        <v>28</v>
      </c>
      <c r="B32" s="10" t="n">
        <v>870180</v>
      </c>
      <c r="C32" s="11" t="s">
        <v>2009</v>
      </c>
      <c r="D32" s="12" t="n">
        <v>32001</v>
      </c>
      <c r="E32" s="11" t="s">
        <v>1978</v>
      </c>
      <c r="F32" s="11" t="s">
        <v>19</v>
      </c>
      <c r="G32" s="11" t="s">
        <v>2010</v>
      </c>
      <c r="H32" s="11" t="s">
        <v>2011</v>
      </c>
      <c r="I32" s="11" t="n">
        <v>6008041</v>
      </c>
      <c r="J32" s="11" t="n">
        <v>1355</v>
      </c>
      <c r="K32" s="11" t="s">
        <v>22</v>
      </c>
      <c r="L32" s="11" t="n">
        <v>85982286315</v>
      </c>
      <c r="M32" s="11" t="s">
        <v>1210</v>
      </c>
      <c r="N32" s="24" t="n">
        <v>45824</v>
      </c>
      <c r="O32" s="25" t="n">
        <f aca="false">INT((N32-D32)/365.25)</f>
        <v>37</v>
      </c>
      <c r="P32" s="12" t="s">
        <v>22</v>
      </c>
    </row>
    <row r="33" customFormat="false" ht="15" hidden="false" customHeight="false" outlineLevel="0" collapsed="false">
      <c r="A33" s="51" t="n">
        <v>29</v>
      </c>
      <c r="B33" s="10" t="n">
        <v>869588</v>
      </c>
      <c r="C33" s="11" t="s">
        <v>2012</v>
      </c>
      <c r="D33" s="12" t="n">
        <v>37946</v>
      </c>
      <c r="E33" s="11" t="s">
        <v>2013</v>
      </c>
      <c r="F33" s="11" t="s">
        <v>1992</v>
      </c>
      <c r="G33" s="11" t="s">
        <v>2014</v>
      </c>
      <c r="H33" s="11" t="s">
        <v>2015</v>
      </c>
      <c r="I33" s="11" t="n">
        <v>1090182</v>
      </c>
      <c r="J33" s="11" t="n">
        <v>6359</v>
      </c>
      <c r="K33" s="11" t="s">
        <v>22</v>
      </c>
      <c r="L33" s="11" t="n">
        <v>98988649637</v>
      </c>
      <c r="M33" s="11" t="s">
        <v>1210</v>
      </c>
      <c r="N33" s="24" t="n">
        <v>45824</v>
      </c>
      <c r="O33" s="25" t="n">
        <f aca="false">INT((N33-D33)/365.25)</f>
        <v>21</v>
      </c>
      <c r="P33" s="12" t="s">
        <v>22</v>
      </c>
    </row>
    <row r="34" customFormat="false" ht="15" hidden="false" customHeight="false" outlineLevel="0" collapsed="false">
      <c r="A34" s="51" t="n">
        <v>30</v>
      </c>
      <c r="B34" s="10" t="n">
        <v>872299</v>
      </c>
      <c r="C34" s="11" t="s">
        <v>2016</v>
      </c>
      <c r="D34" s="12" t="n">
        <v>30997</v>
      </c>
      <c r="E34" s="11" t="s">
        <v>1978</v>
      </c>
      <c r="F34" s="11" t="s">
        <v>19</v>
      </c>
      <c r="G34" s="11" t="s">
        <v>2017</v>
      </c>
      <c r="H34" s="11" t="n">
        <v>3085686</v>
      </c>
      <c r="I34" s="11" t="n">
        <v>1350012</v>
      </c>
      <c r="J34" s="11" t="n">
        <v>9471</v>
      </c>
      <c r="K34" s="11" t="s">
        <v>22</v>
      </c>
      <c r="L34" s="11" t="n">
        <v>84996410377</v>
      </c>
      <c r="M34" s="11" t="s">
        <v>1210</v>
      </c>
      <c r="N34" s="24" t="n">
        <v>45824</v>
      </c>
      <c r="O34" s="25" t="n">
        <f aca="false">INT((N34-D34)/365.25)</f>
        <v>40</v>
      </c>
      <c r="P34" s="12" t="s">
        <v>22</v>
      </c>
    </row>
  </sheetData>
  <autoFilter ref="K1:K34"/>
  <mergeCells count="1">
    <mergeCell ref="A1:P2"/>
  </mergeCells>
  <conditionalFormatting sqref="O5:O34">
    <cfRule type="colorScale" priority="2">
      <colorScale>
        <cfvo type="num" val="17"/>
        <cfvo type="num" val="18"/>
        <color rgb="FFFF0000"/>
        <color rgb="FF92D050"/>
      </colorScale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3"/>
  <sheetViews>
    <sheetView showFormulas="false" showGridLines="true" showRowColHeaders="true" showZeros="true" rightToLeft="false" tabSelected="false" showOutlineSymbols="true" defaultGridColor="true" view="normal" topLeftCell="A10" colorId="64" zoomScale="90" zoomScaleNormal="90" zoomScalePageLayoutView="100" workbookViewId="0">
      <selection pane="topLeft" activeCell="E20" activeCellId="0" sqref="E20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6.86"/>
    <col collapsed="false" customWidth="true" hidden="false" outlineLevel="0" max="3" min="3" style="0" width="39.86"/>
    <col collapsed="false" customWidth="true" hidden="false" outlineLevel="0" max="4" min="4" style="0" width="9"/>
    <col collapsed="false" customWidth="true" hidden="false" outlineLevel="0" max="5" min="5" style="0" width="20.57"/>
    <col collapsed="false" customWidth="true" hidden="false" outlineLevel="0" max="6" min="6" style="0" width="6.43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8.29"/>
    <col collapsed="false" customWidth="true" hidden="false" outlineLevel="0" max="10" min="10" style="0" width="5"/>
    <col collapsed="false" customWidth="true" hidden="true" outlineLevel="0" max="11" min="11" style="0" width="11.28"/>
    <col collapsed="false" customWidth="true" hidden="false" outlineLevel="0" max="12" min="12" style="0" width="13.14"/>
    <col collapsed="false" customWidth="true" hidden="false" outlineLevel="0" max="13" min="13" style="0" width="17.29"/>
    <col collapsed="false" customWidth="true" hidden="false" outlineLevel="0" max="14" min="14" style="0" width="9.29"/>
    <col collapsed="false" customWidth="true" hidden="false" outlineLevel="0" max="15" min="15" style="0" width="5.71"/>
    <col collapsed="false" customWidth="true" hidden="false" outlineLevel="0" max="16" min="16" style="0" width="7"/>
    <col collapsed="false" customWidth="true" hidden="true" outlineLevel="0" max="17" min="17" style="0" width="11.43"/>
  </cols>
  <sheetData>
    <row r="1" customFormat="false" ht="15" hidden="false" customHeight="false" outlineLevel="0" collapsed="false">
      <c r="A1" s="54" t="s">
        <v>2018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62"/>
    </row>
    <row r="2" customFormat="false" ht="15" hidden="false" customHeight="false" outlineLevel="0" collapsed="false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62"/>
    </row>
    <row r="3" customFormat="false" ht="15" hidden="false" customHeight="false" outlineLevel="0" collapsed="false">
      <c r="A3" s="43"/>
      <c r="B3" s="44" t="s">
        <v>1</v>
      </c>
      <c r="C3" s="44" t="s">
        <v>2</v>
      </c>
      <c r="D3" s="44" t="s">
        <v>3</v>
      </c>
      <c r="E3" s="44" t="s">
        <v>4</v>
      </c>
      <c r="F3" s="44" t="s">
        <v>5</v>
      </c>
      <c r="G3" s="45" t="s">
        <v>6</v>
      </c>
      <c r="H3" s="44" t="s">
        <v>7</v>
      </c>
      <c r="I3" s="44" t="s">
        <v>8</v>
      </c>
      <c r="J3" s="44" t="s">
        <v>9</v>
      </c>
      <c r="K3" s="44" t="s">
        <v>10</v>
      </c>
      <c r="L3" s="44" t="s">
        <v>1101</v>
      </c>
      <c r="M3" s="44" t="s">
        <v>11</v>
      </c>
      <c r="N3" s="44" t="s">
        <v>12</v>
      </c>
      <c r="O3" s="44" t="s">
        <v>13</v>
      </c>
      <c r="P3" s="44" t="s">
        <v>16</v>
      </c>
      <c r="Q3" s="63" t="s">
        <v>2019</v>
      </c>
    </row>
    <row r="4" customFormat="false" ht="15" hidden="false" customHeight="false" outlineLevel="0" collapsed="false">
      <c r="A4" s="46"/>
      <c r="B4" s="47"/>
      <c r="C4" s="44" t="s">
        <v>2020</v>
      </c>
      <c r="D4" s="48"/>
      <c r="E4" s="47"/>
      <c r="F4" s="47"/>
      <c r="G4" s="47"/>
      <c r="H4" s="47"/>
      <c r="I4" s="47"/>
      <c r="J4" s="47"/>
      <c r="K4" s="47"/>
      <c r="L4" s="47"/>
      <c r="M4" s="49"/>
      <c r="N4" s="50"/>
      <c r="O4" s="44"/>
      <c r="P4" s="44"/>
      <c r="Q4" s="44"/>
    </row>
    <row r="5" customFormat="false" ht="15" hidden="false" customHeight="false" outlineLevel="0" collapsed="false">
      <c r="A5" s="51" t="n">
        <v>1</v>
      </c>
      <c r="B5" s="10" t="n">
        <v>856152</v>
      </c>
      <c r="C5" s="11" t="s">
        <v>2021</v>
      </c>
      <c r="D5" s="12" t="n">
        <v>33219</v>
      </c>
      <c r="E5" s="11" t="s">
        <v>2022</v>
      </c>
      <c r="F5" s="11" t="s">
        <v>19</v>
      </c>
      <c r="G5" s="11" t="s">
        <v>2023</v>
      </c>
      <c r="H5" s="11" t="s">
        <v>2024</v>
      </c>
      <c r="I5" s="11" t="n">
        <v>436105</v>
      </c>
      <c r="J5" s="11" t="n">
        <v>6323</v>
      </c>
      <c r="K5" s="11" t="s">
        <v>22</v>
      </c>
      <c r="L5" s="11" t="n">
        <v>88988305200</v>
      </c>
      <c r="M5" s="11" t="s">
        <v>1210</v>
      </c>
      <c r="N5" s="24" t="n">
        <v>45824</v>
      </c>
      <c r="O5" s="25" t="n">
        <f aca="false">INT((N5-D5)/365.25)</f>
        <v>34</v>
      </c>
      <c r="P5" s="12" t="s">
        <v>22</v>
      </c>
      <c r="Q5" s="12" t="s">
        <v>1218</v>
      </c>
    </row>
    <row r="6" customFormat="false" ht="15" hidden="false" customHeight="false" outlineLevel="0" collapsed="false">
      <c r="A6" s="51" t="n">
        <v>2</v>
      </c>
      <c r="B6" s="10" t="n">
        <v>580945</v>
      </c>
      <c r="C6" s="11" t="s">
        <v>2025</v>
      </c>
      <c r="D6" s="12" t="n">
        <v>32053</v>
      </c>
      <c r="E6" s="11" t="s">
        <v>2022</v>
      </c>
      <c r="F6" s="11" t="s">
        <v>19</v>
      </c>
      <c r="G6" s="11" t="s">
        <v>2026</v>
      </c>
      <c r="H6" s="11" t="s">
        <v>2027</v>
      </c>
      <c r="I6" s="11" t="n">
        <v>333659</v>
      </c>
      <c r="J6" s="11" t="n">
        <v>2364</v>
      </c>
      <c r="K6" s="11" t="s">
        <v>22</v>
      </c>
      <c r="L6" s="11" t="n">
        <v>88997559132</v>
      </c>
      <c r="M6" s="11" t="s">
        <v>1210</v>
      </c>
      <c r="N6" s="24" t="n">
        <v>45824</v>
      </c>
      <c r="O6" s="25" t="n">
        <f aca="false">INT((N6-D6)/365.25)</f>
        <v>37</v>
      </c>
      <c r="P6" s="12" t="s">
        <v>22</v>
      </c>
      <c r="Q6" s="12"/>
    </row>
    <row r="7" customFormat="false" ht="15" hidden="false" customHeight="false" outlineLevel="0" collapsed="false">
      <c r="A7" s="51" t="n">
        <v>3</v>
      </c>
      <c r="B7" s="10" t="n">
        <v>870235</v>
      </c>
      <c r="C7" s="11" t="s">
        <v>2028</v>
      </c>
      <c r="D7" s="12" t="n">
        <v>36412</v>
      </c>
      <c r="E7" s="11" t="s">
        <v>2022</v>
      </c>
      <c r="F7" s="11" t="s">
        <v>19</v>
      </c>
      <c r="G7" s="11" t="s">
        <v>2029</v>
      </c>
      <c r="H7" s="11" t="s">
        <v>2030</v>
      </c>
      <c r="I7" s="11" t="n">
        <v>8878147</v>
      </c>
      <c r="J7" s="11" t="n">
        <v>50</v>
      </c>
      <c r="K7" s="11" t="s">
        <v>22</v>
      </c>
      <c r="L7" s="11"/>
      <c r="M7" s="11" t="s">
        <v>1210</v>
      </c>
      <c r="N7" s="24" t="n">
        <v>45824</v>
      </c>
      <c r="O7" s="25" t="n">
        <f aca="false">INT((N7-D7)/365.25)</f>
        <v>25</v>
      </c>
      <c r="P7" s="12" t="s">
        <v>22</v>
      </c>
      <c r="Q7" s="12"/>
    </row>
    <row r="8" customFormat="false" ht="15" hidden="false" customHeight="false" outlineLevel="0" collapsed="false">
      <c r="A8" s="51" t="n">
        <v>4</v>
      </c>
      <c r="B8" s="10" t="n">
        <v>870230</v>
      </c>
      <c r="C8" s="11" t="s">
        <v>2031</v>
      </c>
      <c r="D8" s="12" t="n">
        <v>29751</v>
      </c>
      <c r="E8" s="11" t="s">
        <v>2022</v>
      </c>
      <c r="F8" s="11" t="s">
        <v>19</v>
      </c>
      <c r="G8" s="11" t="s">
        <v>2032</v>
      </c>
      <c r="H8" s="11" t="s">
        <v>2033</v>
      </c>
      <c r="I8" s="11" t="n">
        <v>890211</v>
      </c>
      <c r="J8" s="11" t="n">
        <v>53</v>
      </c>
      <c r="K8" s="34" t="s">
        <v>22</v>
      </c>
      <c r="L8" s="11" t="n">
        <v>88994131745</v>
      </c>
      <c r="M8" s="11" t="s">
        <v>1210</v>
      </c>
      <c r="N8" s="24" t="n">
        <v>45824</v>
      </c>
      <c r="O8" s="25" t="n">
        <f aca="false">INT((N8-D8)/365.25)</f>
        <v>44</v>
      </c>
      <c r="P8" s="12" t="s">
        <v>22</v>
      </c>
      <c r="Q8" s="12"/>
    </row>
    <row r="9" customFormat="false" ht="14.25" hidden="false" customHeight="true" outlineLevel="0" collapsed="false">
      <c r="A9" s="51" t="n">
        <v>5</v>
      </c>
      <c r="B9" s="10" t="n">
        <v>870234</v>
      </c>
      <c r="C9" s="11" t="s">
        <v>2034</v>
      </c>
      <c r="D9" s="12" t="n">
        <v>35818</v>
      </c>
      <c r="E9" s="11" t="s">
        <v>2022</v>
      </c>
      <c r="F9" s="11" t="s">
        <v>19</v>
      </c>
      <c r="G9" s="11" t="s">
        <v>2035</v>
      </c>
      <c r="H9" s="11" t="s">
        <v>2036</v>
      </c>
      <c r="I9" s="11" t="n">
        <v>3890458</v>
      </c>
      <c r="J9" s="11" t="n">
        <v>40</v>
      </c>
      <c r="K9" s="34" t="s">
        <v>22</v>
      </c>
      <c r="L9" s="11" t="n">
        <v>88992833268</v>
      </c>
      <c r="M9" s="11" t="s">
        <v>1210</v>
      </c>
      <c r="N9" s="24" t="n">
        <v>45824</v>
      </c>
      <c r="O9" s="25" t="n">
        <f aca="false">INT((N9-D9)/365.25)</f>
        <v>27</v>
      </c>
      <c r="P9" s="12" t="s">
        <v>22</v>
      </c>
      <c r="Q9" s="12"/>
    </row>
    <row r="10" customFormat="false" ht="15" hidden="false" customHeight="false" outlineLevel="0" collapsed="false">
      <c r="A10" s="51" t="n">
        <v>6</v>
      </c>
      <c r="B10" s="10" t="n">
        <v>869717</v>
      </c>
      <c r="C10" s="11" t="s">
        <v>2037</v>
      </c>
      <c r="D10" s="12" t="n">
        <v>37680</v>
      </c>
      <c r="E10" s="11" t="s">
        <v>2022</v>
      </c>
      <c r="F10" s="11" t="s">
        <v>19</v>
      </c>
      <c r="G10" s="11" t="s">
        <v>2038</v>
      </c>
      <c r="H10" s="11" t="s">
        <v>2039</v>
      </c>
      <c r="I10" s="11" t="n">
        <v>802911</v>
      </c>
      <c r="J10" s="11" t="n">
        <v>7302</v>
      </c>
      <c r="K10" s="11" t="s">
        <v>22</v>
      </c>
      <c r="L10" s="11" t="n">
        <v>88988520233</v>
      </c>
      <c r="M10" s="11" t="s">
        <v>1210</v>
      </c>
      <c r="N10" s="24" t="n">
        <v>45824</v>
      </c>
      <c r="O10" s="25" t="n">
        <f aca="false">INT((N10-D10)/365.25)</f>
        <v>22</v>
      </c>
      <c r="P10" s="12" t="s">
        <v>22</v>
      </c>
      <c r="Q10" s="12" t="s">
        <v>1218</v>
      </c>
    </row>
    <row r="11" customFormat="false" ht="15" hidden="false" customHeight="false" outlineLevel="0" collapsed="false">
      <c r="A11" s="51" t="n">
        <v>7</v>
      </c>
      <c r="B11" s="10" t="n">
        <v>869719</v>
      </c>
      <c r="C11" s="11" t="s">
        <v>2040</v>
      </c>
      <c r="D11" s="12" t="n">
        <v>34714</v>
      </c>
      <c r="E11" s="11" t="s">
        <v>2022</v>
      </c>
      <c r="F11" s="11" t="s">
        <v>19</v>
      </c>
      <c r="G11" s="11" t="s">
        <v>2041</v>
      </c>
      <c r="H11" s="11" t="n">
        <v>20079036621</v>
      </c>
      <c r="I11" s="11" t="n">
        <v>174634</v>
      </c>
      <c r="J11" s="11" t="n">
        <v>40</v>
      </c>
      <c r="K11" s="11" t="s">
        <v>22</v>
      </c>
      <c r="L11" s="11" t="n">
        <v>85999856718</v>
      </c>
      <c r="M11" s="11" t="s">
        <v>1210</v>
      </c>
      <c r="N11" s="24" t="n">
        <v>45824</v>
      </c>
      <c r="O11" s="25" t="n">
        <f aca="false">INT((N11-D11)/365.25)</f>
        <v>30</v>
      </c>
      <c r="P11" s="12" t="s">
        <v>22</v>
      </c>
      <c r="Q11" s="12" t="s">
        <v>1238</v>
      </c>
    </row>
    <row r="12" customFormat="false" ht="15" hidden="false" customHeight="false" outlineLevel="0" collapsed="false">
      <c r="A12" s="51" t="n">
        <v>8</v>
      </c>
      <c r="B12" s="10" t="n">
        <v>872274</v>
      </c>
      <c r="C12" s="11" t="s">
        <v>2042</v>
      </c>
      <c r="D12" s="12" t="n">
        <v>31991</v>
      </c>
      <c r="E12" s="11" t="s">
        <v>2022</v>
      </c>
      <c r="F12" s="11" t="s">
        <v>19</v>
      </c>
      <c r="G12" s="11" t="s">
        <v>2043</v>
      </c>
      <c r="H12" s="11" t="s">
        <v>2044</v>
      </c>
      <c r="I12" s="11" t="n">
        <v>79281</v>
      </c>
      <c r="J12" s="11" t="n">
        <v>57</v>
      </c>
      <c r="K12" s="11" t="s">
        <v>22</v>
      </c>
      <c r="L12" s="11" t="n">
        <v>88994854314</v>
      </c>
      <c r="M12" s="11" t="s">
        <v>1210</v>
      </c>
      <c r="N12" s="24" t="n">
        <v>45824</v>
      </c>
      <c r="O12" s="25" t="n">
        <f aca="false">INT((N12-D12)/365.25)</f>
        <v>37</v>
      </c>
      <c r="P12" s="12" t="s">
        <v>22</v>
      </c>
      <c r="Q12" s="12"/>
    </row>
    <row r="13" customFormat="false" ht="15" hidden="false" customHeight="false" outlineLevel="0" collapsed="false">
      <c r="A13" s="51" t="n">
        <v>9</v>
      </c>
      <c r="B13" s="10" t="n">
        <v>853839</v>
      </c>
      <c r="C13" s="11" t="s">
        <v>2045</v>
      </c>
      <c r="D13" s="12" t="n">
        <v>36646</v>
      </c>
      <c r="E13" s="11" t="s">
        <v>2022</v>
      </c>
      <c r="F13" s="11" t="s">
        <v>19</v>
      </c>
      <c r="G13" s="11" t="s">
        <v>2046</v>
      </c>
      <c r="H13" s="11" t="s">
        <v>2047</v>
      </c>
      <c r="I13" s="11" t="n">
        <v>860228</v>
      </c>
      <c r="J13" s="11" t="n">
        <v>7380</v>
      </c>
      <c r="K13" s="11" t="s">
        <v>22</v>
      </c>
      <c r="L13" s="11" t="n">
        <v>34999053627</v>
      </c>
      <c r="M13" s="11" t="s">
        <v>1210</v>
      </c>
      <c r="N13" s="24" t="n">
        <v>45824</v>
      </c>
      <c r="O13" s="25" t="n">
        <f aca="false">INT((N13-D13)/365.25)</f>
        <v>25</v>
      </c>
      <c r="P13" s="12" t="s">
        <v>22</v>
      </c>
      <c r="Q13" s="12" t="s">
        <v>1218</v>
      </c>
    </row>
    <row r="14" customFormat="false" ht="15" hidden="false" customHeight="false" outlineLevel="0" collapsed="false">
      <c r="A14" s="51" t="n">
        <v>10</v>
      </c>
      <c r="B14" s="10" t="n">
        <v>872269</v>
      </c>
      <c r="C14" s="11" t="s">
        <v>2048</v>
      </c>
      <c r="D14" s="12" t="n">
        <v>38421</v>
      </c>
      <c r="E14" s="11" t="s">
        <v>2022</v>
      </c>
      <c r="F14" s="11" t="s">
        <v>19</v>
      </c>
      <c r="G14" s="11" t="s">
        <v>2049</v>
      </c>
      <c r="H14" s="11" t="s">
        <v>2050</v>
      </c>
      <c r="I14" s="11" t="n">
        <v>1113959</v>
      </c>
      <c r="J14" s="11" t="n">
        <v>8350</v>
      </c>
      <c r="K14" s="11" t="s">
        <v>22</v>
      </c>
      <c r="L14" s="11"/>
      <c r="M14" s="11" t="s">
        <v>1210</v>
      </c>
      <c r="N14" s="24" t="n">
        <v>45824</v>
      </c>
      <c r="O14" s="25" t="n">
        <f aca="false">INT((N14-D14)/365.25)</f>
        <v>20</v>
      </c>
      <c r="P14" s="12" t="s">
        <v>22</v>
      </c>
      <c r="Q14" s="12" t="s">
        <v>1218</v>
      </c>
    </row>
    <row r="15" customFormat="false" ht="15" hidden="false" customHeight="false" outlineLevel="0" collapsed="false">
      <c r="A15" s="51" t="n">
        <v>11</v>
      </c>
      <c r="B15" s="10" t="n">
        <v>853814</v>
      </c>
      <c r="C15" s="11" t="s">
        <v>2051</v>
      </c>
      <c r="D15" s="12" t="n">
        <v>38473</v>
      </c>
      <c r="E15" s="11" t="s">
        <v>2022</v>
      </c>
      <c r="F15" s="11" t="s">
        <v>19</v>
      </c>
      <c r="G15" s="11" t="s">
        <v>2052</v>
      </c>
      <c r="H15" s="11" t="s">
        <v>2053</v>
      </c>
      <c r="I15" s="11" t="n">
        <v>1000598</v>
      </c>
      <c r="J15" s="11" t="n">
        <v>5358</v>
      </c>
      <c r="K15" s="11" t="s">
        <v>22</v>
      </c>
      <c r="L15" s="11" t="n">
        <v>88981462976</v>
      </c>
      <c r="M15" s="11" t="s">
        <v>1210</v>
      </c>
      <c r="N15" s="24" t="n">
        <v>45824</v>
      </c>
      <c r="O15" s="25" t="n">
        <f aca="false">INT((N15-D15)/365.25)</f>
        <v>20</v>
      </c>
      <c r="P15" s="12" t="s">
        <v>22</v>
      </c>
      <c r="Q15" s="12"/>
    </row>
    <row r="16" customFormat="false" ht="15" hidden="false" customHeight="false" outlineLevel="0" collapsed="false">
      <c r="A16" s="51" t="n">
        <v>12</v>
      </c>
      <c r="B16" s="10" t="n">
        <v>872271</v>
      </c>
      <c r="C16" s="11" t="s">
        <v>2054</v>
      </c>
      <c r="D16" s="12" t="n">
        <v>35387</v>
      </c>
      <c r="E16" s="11" t="s">
        <v>2022</v>
      </c>
      <c r="F16" s="11" t="s">
        <v>19</v>
      </c>
      <c r="G16" s="11" t="s">
        <v>2055</v>
      </c>
      <c r="H16" s="11" t="s">
        <v>2056</v>
      </c>
      <c r="I16" s="11" t="n">
        <v>742105</v>
      </c>
      <c r="J16" s="11" t="n">
        <v>8303</v>
      </c>
      <c r="K16" s="11" t="s">
        <v>22</v>
      </c>
      <c r="L16" s="11" t="n">
        <v>88993844887</v>
      </c>
      <c r="M16" s="11" t="s">
        <v>1210</v>
      </c>
      <c r="N16" s="24" t="n">
        <v>45824</v>
      </c>
      <c r="O16" s="25" t="n">
        <f aca="false">INT((N16-D16)/365.25)</f>
        <v>28</v>
      </c>
      <c r="P16" s="12" t="s">
        <v>22</v>
      </c>
      <c r="Q16" s="12" t="s">
        <v>1218</v>
      </c>
    </row>
    <row r="17" customFormat="false" ht="15" hidden="false" customHeight="false" outlineLevel="0" collapsed="false">
      <c r="A17" s="51" t="n">
        <v>13</v>
      </c>
      <c r="B17" s="10" t="n">
        <v>859084</v>
      </c>
      <c r="C17" s="11" t="s">
        <v>2057</v>
      </c>
      <c r="D17" s="12" t="n">
        <v>34144</v>
      </c>
      <c r="E17" s="11" t="s">
        <v>642</v>
      </c>
      <c r="F17" s="11" t="s">
        <v>19</v>
      </c>
      <c r="G17" s="11" t="s">
        <v>2058</v>
      </c>
      <c r="H17" s="11" t="s">
        <v>2059</v>
      </c>
      <c r="I17" s="11" t="n">
        <v>629740</v>
      </c>
      <c r="J17" s="11" t="n">
        <v>6316</v>
      </c>
      <c r="K17" s="11" t="s">
        <v>22</v>
      </c>
      <c r="L17" s="11" t="n">
        <v>15998509115</v>
      </c>
      <c r="M17" s="11" t="s">
        <v>1210</v>
      </c>
      <c r="N17" s="24" t="n">
        <v>45824</v>
      </c>
      <c r="O17" s="25" t="n">
        <f aca="false">INT((N17-D17)/365.25)</f>
        <v>31</v>
      </c>
      <c r="P17" s="12" t="s">
        <v>22</v>
      </c>
      <c r="Q17" s="12" t="s">
        <v>1218</v>
      </c>
    </row>
    <row r="18" customFormat="false" ht="15" hidden="false" customHeight="false" outlineLevel="0" collapsed="false">
      <c r="A18" s="51" t="n">
        <v>14</v>
      </c>
      <c r="B18" s="10" t="n">
        <v>870484</v>
      </c>
      <c r="C18" s="11" t="s">
        <v>2060</v>
      </c>
      <c r="D18" s="12" t="n">
        <v>35993</v>
      </c>
      <c r="E18" s="11" t="s">
        <v>642</v>
      </c>
      <c r="F18" s="11" t="s">
        <v>19</v>
      </c>
      <c r="G18" s="11" t="s">
        <v>2061</v>
      </c>
      <c r="H18" s="11" t="s">
        <v>2062</v>
      </c>
      <c r="I18" s="11" t="n">
        <v>2528018</v>
      </c>
      <c r="J18" s="11" t="n">
        <v>50</v>
      </c>
      <c r="K18" s="11" t="s">
        <v>22</v>
      </c>
      <c r="L18" s="11" t="n">
        <v>88993178954</v>
      </c>
      <c r="M18" s="11" t="s">
        <v>1210</v>
      </c>
      <c r="N18" s="24" t="n">
        <v>45824</v>
      </c>
      <c r="O18" s="25" t="n">
        <f aca="false">INT((N18-D18)/365.25)</f>
        <v>26</v>
      </c>
      <c r="P18" s="12" t="s">
        <v>22</v>
      </c>
      <c r="Q18" s="12" t="s">
        <v>1218</v>
      </c>
    </row>
    <row r="19" customFormat="false" ht="15" hidden="false" customHeight="false" outlineLevel="0" collapsed="false">
      <c r="A19" s="51" t="n">
        <v>15</v>
      </c>
      <c r="B19" s="10" t="n">
        <v>870226</v>
      </c>
      <c r="C19" s="11" t="s">
        <v>2063</v>
      </c>
      <c r="D19" s="12" t="n">
        <v>32785</v>
      </c>
      <c r="E19" s="11" t="s">
        <v>642</v>
      </c>
      <c r="F19" s="11" t="s">
        <v>19</v>
      </c>
      <c r="G19" s="11" t="s">
        <v>2064</v>
      </c>
      <c r="H19" s="11" t="s">
        <v>2065</v>
      </c>
      <c r="I19" s="11" t="n">
        <v>531112</v>
      </c>
      <c r="J19" s="11" t="n">
        <v>5357</v>
      </c>
      <c r="K19" s="34" t="s">
        <v>22</v>
      </c>
      <c r="L19" s="11"/>
      <c r="M19" s="11" t="s">
        <v>1210</v>
      </c>
      <c r="N19" s="24" t="n">
        <v>45824</v>
      </c>
      <c r="O19" s="25" t="n">
        <f aca="false">INT((N19-D19)/365.25)</f>
        <v>35</v>
      </c>
      <c r="P19" s="12" t="s">
        <v>22</v>
      </c>
      <c r="Q19" s="12"/>
    </row>
    <row r="20" customFormat="false" ht="15" hidden="false" customHeight="false" outlineLevel="0" collapsed="false">
      <c r="A20" s="51" t="n">
        <v>16</v>
      </c>
      <c r="B20" s="10" t="n">
        <v>818779</v>
      </c>
      <c r="C20" s="11" t="s">
        <v>2066</v>
      </c>
      <c r="D20" s="12" t="n">
        <v>34396</v>
      </c>
      <c r="E20" s="11" t="s">
        <v>642</v>
      </c>
      <c r="F20" s="11" t="s">
        <v>19</v>
      </c>
      <c r="G20" s="11" t="s">
        <v>2067</v>
      </c>
      <c r="H20" s="11" t="s">
        <v>2068</v>
      </c>
      <c r="I20" s="11" t="n">
        <v>633581</v>
      </c>
      <c r="J20" s="11" t="n">
        <v>8361</v>
      </c>
      <c r="K20" s="11" t="s">
        <v>22</v>
      </c>
      <c r="L20" s="11" t="n">
        <v>88996580561</v>
      </c>
      <c r="M20" s="11" t="s">
        <v>1210</v>
      </c>
      <c r="N20" s="24" t="n">
        <v>45824</v>
      </c>
      <c r="O20" s="25" t="n">
        <f aca="false">INT((N20-D20)/365.25)</f>
        <v>31</v>
      </c>
      <c r="P20" s="12" t="s">
        <v>22</v>
      </c>
      <c r="Q20" s="12" t="s">
        <v>1238</v>
      </c>
    </row>
    <row r="21" customFormat="false" ht="15" hidden="false" customHeight="false" outlineLevel="0" collapsed="false">
      <c r="A21" s="51" t="n">
        <v>17</v>
      </c>
      <c r="B21" s="10" t="n">
        <v>869938</v>
      </c>
      <c r="C21" s="11" t="s">
        <v>2069</v>
      </c>
      <c r="D21" s="12" t="n">
        <v>38289</v>
      </c>
      <c r="E21" s="11" t="s">
        <v>642</v>
      </c>
      <c r="F21" s="11" t="s">
        <v>19</v>
      </c>
      <c r="G21" s="11" t="s">
        <v>2070</v>
      </c>
      <c r="H21" s="11" t="s">
        <v>2071</v>
      </c>
      <c r="I21" s="11" t="n">
        <v>862237</v>
      </c>
      <c r="J21" s="11" t="n">
        <v>1301</v>
      </c>
      <c r="K21" s="11" t="s">
        <v>22</v>
      </c>
      <c r="L21" s="11" t="n">
        <v>88992531574</v>
      </c>
      <c r="M21" s="11" t="s">
        <v>1210</v>
      </c>
      <c r="N21" s="24" t="n">
        <v>45824</v>
      </c>
      <c r="O21" s="25" t="n">
        <f aca="false">INT((N21-D21)/365.25)</f>
        <v>20</v>
      </c>
      <c r="P21" s="12" t="s">
        <v>22</v>
      </c>
      <c r="Q21" s="12"/>
    </row>
    <row r="22" customFormat="false" ht="15" hidden="false" customHeight="false" outlineLevel="0" collapsed="false">
      <c r="A22" s="51" t="n">
        <v>18</v>
      </c>
      <c r="B22" s="10" t="n">
        <v>870232</v>
      </c>
      <c r="C22" s="11" t="s">
        <v>2072</v>
      </c>
      <c r="D22" s="12" t="n">
        <v>37231</v>
      </c>
      <c r="E22" s="11" t="s">
        <v>642</v>
      </c>
      <c r="F22" s="11" t="s">
        <v>19</v>
      </c>
      <c r="G22" s="11" t="s">
        <v>2073</v>
      </c>
      <c r="H22" s="11" t="s">
        <v>2074</v>
      </c>
      <c r="I22" s="11" t="n">
        <v>6363429</v>
      </c>
      <c r="J22" s="11" t="n">
        <v>7301</v>
      </c>
      <c r="K22" s="11" t="s">
        <v>22</v>
      </c>
      <c r="L22" s="11" t="n">
        <v>88994040640</v>
      </c>
      <c r="M22" s="11" t="s">
        <v>1210</v>
      </c>
      <c r="N22" s="24" t="n">
        <v>45824</v>
      </c>
      <c r="O22" s="25" t="n">
        <f aca="false">INT((N22-D22)/365.25)</f>
        <v>23</v>
      </c>
      <c r="P22" s="12" t="s">
        <v>22</v>
      </c>
      <c r="Q22" s="12" t="s">
        <v>1238</v>
      </c>
    </row>
    <row r="23" customFormat="false" ht="15" hidden="false" customHeight="false" outlineLevel="0" collapsed="false">
      <c r="A23" s="51" t="n">
        <v>19</v>
      </c>
      <c r="B23" s="10" t="n">
        <v>869942</v>
      </c>
      <c r="C23" s="11" t="s">
        <v>2075</v>
      </c>
      <c r="D23" s="12" t="n">
        <v>38985</v>
      </c>
      <c r="E23" s="11" t="s">
        <v>642</v>
      </c>
      <c r="F23" s="11" t="s">
        <v>19</v>
      </c>
      <c r="G23" s="11" t="s">
        <v>2076</v>
      </c>
      <c r="H23" s="11" t="s">
        <v>2077</v>
      </c>
      <c r="I23" s="11" t="n">
        <v>733490</v>
      </c>
      <c r="J23" s="11" t="n">
        <v>2394</v>
      </c>
      <c r="K23" s="11" t="s">
        <v>22</v>
      </c>
      <c r="L23" s="11" t="n">
        <v>88994618029</v>
      </c>
      <c r="M23" s="11" t="s">
        <v>1210</v>
      </c>
      <c r="N23" s="24" t="n">
        <v>45824</v>
      </c>
      <c r="O23" s="25" t="n">
        <f aca="false">INT((N23-D23)/365.25)</f>
        <v>18</v>
      </c>
      <c r="P23" s="12" t="s">
        <v>22</v>
      </c>
      <c r="Q23" s="12"/>
    </row>
    <row r="24" customFormat="false" ht="15" hidden="false" customHeight="false" outlineLevel="0" collapsed="false">
      <c r="A24" s="51" t="n">
        <v>20</v>
      </c>
      <c r="B24" s="10" t="n">
        <v>870231</v>
      </c>
      <c r="C24" s="11" t="s">
        <v>2078</v>
      </c>
      <c r="D24" s="12" t="n">
        <v>29070</v>
      </c>
      <c r="E24" s="11" t="s">
        <v>642</v>
      </c>
      <c r="F24" s="11" t="s">
        <v>19</v>
      </c>
      <c r="G24" s="11" t="s">
        <v>2079</v>
      </c>
      <c r="H24" s="11" t="s">
        <v>2080</v>
      </c>
      <c r="I24" s="11" t="n">
        <v>9312375</v>
      </c>
      <c r="J24" s="11" t="n">
        <v>2372</v>
      </c>
      <c r="K24" s="11" t="s">
        <v>22</v>
      </c>
      <c r="L24" s="11" t="n">
        <v>88994528791</v>
      </c>
      <c r="M24" s="11" t="s">
        <v>1210</v>
      </c>
      <c r="N24" s="24" t="n">
        <v>45824</v>
      </c>
      <c r="O24" s="25" t="n">
        <f aca="false">INT((N24-D24)/365.25)</f>
        <v>45</v>
      </c>
      <c r="P24" s="12" t="s">
        <v>22</v>
      </c>
      <c r="Q24" s="12" t="s">
        <v>1218</v>
      </c>
    </row>
    <row r="25" customFormat="false" ht="15" hidden="false" customHeight="false" outlineLevel="0" collapsed="false">
      <c r="A25" s="51" t="n">
        <v>21</v>
      </c>
      <c r="B25" s="10" t="n">
        <v>855549</v>
      </c>
      <c r="C25" s="11" t="s">
        <v>2081</v>
      </c>
      <c r="D25" s="12" t="n">
        <v>33520</v>
      </c>
      <c r="E25" s="11" t="s">
        <v>642</v>
      </c>
      <c r="F25" s="11" t="s">
        <v>19</v>
      </c>
      <c r="G25" s="11" t="s">
        <v>2082</v>
      </c>
      <c r="H25" s="11" t="s">
        <v>2083</v>
      </c>
      <c r="I25" s="11" t="n">
        <v>586619</v>
      </c>
      <c r="J25" s="11" t="n">
        <v>2322</v>
      </c>
      <c r="K25" s="11" t="s">
        <v>22</v>
      </c>
      <c r="L25" s="11" t="n">
        <v>34984394213</v>
      </c>
      <c r="M25" s="11" t="s">
        <v>1210</v>
      </c>
      <c r="N25" s="24" t="n">
        <v>45824</v>
      </c>
      <c r="O25" s="25" t="n">
        <f aca="false">INT((N25-D25)/365.25)</f>
        <v>33</v>
      </c>
      <c r="P25" s="12" t="s">
        <v>22</v>
      </c>
      <c r="Q25" s="12"/>
    </row>
    <row r="26" customFormat="false" ht="15" hidden="false" customHeight="false" outlineLevel="0" collapsed="false">
      <c r="A26" s="51" t="n">
        <v>22</v>
      </c>
      <c r="B26" s="10" t="n">
        <v>853810</v>
      </c>
      <c r="C26" s="11" t="s">
        <v>2084</v>
      </c>
      <c r="D26" s="12" t="n">
        <v>31694</v>
      </c>
      <c r="E26" s="11" t="s">
        <v>642</v>
      </c>
      <c r="F26" s="11" t="s">
        <v>19</v>
      </c>
      <c r="G26" s="11" t="s">
        <v>2085</v>
      </c>
      <c r="H26" s="11" t="s">
        <v>2086</v>
      </c>
      <c r="I26" s="11" t="n">
        <v>273829</v>
      </c>
      <c r="J26" s="11" t="n">
        <v>9393</v>
      </c>
      <c r="K26" s="11" t="s">
        <v>22</v>
      </c>
      <c r="L26" s="11" t="n">
        <v>34997291004</v>
      </c>
      <c r="M26" s="11" t="s">
        <v>1210</v>
      </c>
      <c r="N26" s="24" t="n">
        <v>45824</v>
      </c>
      <c r="O26" s="25" t="n">
        <f aca="false">INT((N26-D26)/365.25)</f>
        <v>38</v>
      </c>
      <c r="P26" s="12" t="s">
        <v>22</v>
      </c>
      <c r="Q26" s="12" t="s">
        <v>1218</v>
      </c>
    </row>
    <row r="27" customFormat="false" ht="15" hidden="false" customHeight="false" outlineLevel="0" collapsed="false">
      <c r="A27" s="51" t="n">
        <v>23</v>
      </c>
      <c r="B27" s="10" t="n">
        <v>870236</v>
      </c>
      <c r="C27" s="11" t="s">
        <v>2087</v>
      </c>
      <c r="D27" s="12" t="n">
        <v>26934</v>
      </c>
      <c r="E27" s="11" t="s">
        <v>642</v>
      </c>
      <c r="F27" s="11" t="s">
        <v>19</v>
      </c>
      <c r="G27" s="11" t="s">
        <v>2088</v>
      </c>
      <c r="H27" s="11" t="s">
        <v>2089</v>
      </c>
      <c r="I27" s="11" t="n">
        <v>51208</v>
      </c>
      <c r="J27" s="11" t="n">
        <v>31</v>
      </c>
      <c r="K27" s="11" t="s">
        <v>22</v>
      </c>
      <c r="L27" s="11" t="n">
        <v>88981159323</v>
      </c>
      <c r="M27" s="11" t="s">
        <v>1210</v>
      </c>
      <c r="N27" s="24" t="n">
        <v>45824</v>
      </c>
      <c r="O27" s="25" t="n">
        <f aca="false">INT((N27-D27)/365.25)</f>
        <v>51</v>
      </c>
      <c r="P27" s="12" t="s">
        <v>22</v>
      </c>
      <c r="Q27" s="12" t="s">
        <v>1218</v>
      </c>
    </row>
    <row r="28" customFormat="false" ht="15" hidden="false" customHeight="false" outlineLevel="0" collapsed="false">
      <c r="A28" s="51" t="n">
        <v>24</v>
      </c>
      <c r="B28" s="10" t="n">
        <v>869954</v>
      </c>
      <c r="C28" s="11" t="s">
        <v>2090</v>
      </c>
      <c r="D28" s="12" t="n">
        <v>38821</v>
      </c>
      <c r="E28" s="11" t="s">
        <v>642</v>
      </c>
      <c r="F28" s="11" t="s">
        <v>19</v>
      </c>
      <c r="G28" s="11" t="s">
        <v>2091</v>
      </c>
      <c r="H28" s="11" t="s">
        <v>2092</v>
      </c>
      <c r="I28" s="11" t="n">
        <v>864912</v>
      </c>
      <c r="J28" s="11" t="n">
        <v>3317</v>
      </c>
      <c r="K28" s="11" t="s">
        <v>22</v>
      </c>
      <c r="L28" s="11" t="n">
        <v>88996393209</v>
      </c>
      <c r="M28" s="11" t="s">
        <v>1210</v>
      </c>
      <c r="N28" s="24" t="n">
        <v>45824</v>
      </c>
      <c r="O28" s="25" t="n">
        <f aca="false">INT((N28-D28)/365.25)</f>
        <v>19</v>
      </c>
      <c r="P28" s="12" t="s">
        <v>22</v>
      </c>
      <c r="Q28" s="12" t="s">
        <v>1218</v>
      </c>
    </row>
    <row r="29" customFormat="false" ht="15" hidden="false" customHeight="false" outlineLevel="0" collapsed="false">
      <c r="A29" s="51" t="n">
        <v>25</v>
      </c>
      <c r="B29" s="52" t="n">
        <v>700460</v>
      </c>
      <c r="C29" s="53" t="s">
        <v>2093</v>
      </c>
      <c r="D29" s="12" t="n">
        <v>34864</v>
      </c>
      <c r="E29" s="11" t="s">
        <v>642</v>
      </c>
      <c r="F29" s="11" t="s">
        <v>19</v>
      </c>
      <c r="G29" s="11" t="s">
        <v>2094</v>
      </c>
      <c r="H29" s="11" t="s">
        <v>2095</v>
      </c>
      <c r="I29" s="11" t="n">
        <v>683580</v>
      </c>
      <c r="J29" s="11" t="n">
        <v>6397</v>
      </c>
      <c r="K29" s="11" t="s">
        <v>22</v>
      </c>
      <c r="L29" s="11" t="n">
        <v>34984457220</v>
      </c>
      <c r="M29" s="11" t="s">
        <v>1210</v>
      </c>
      <c r="N29" s="24" t="n">
        <v>45824</v>
      </c>
      <c r="O29" s="25" t="n">
        <f aca="false">INT((N29-D29)/365.25)</f>
        <v>30</v>
      </c>
      <c r="P29" s="12" t="s">
        <v>22</v>
      </c>
      <c r="Q29" s="12" t="s">
        <v>1218</v>
      </c>
    </row>
    <row r="30" customFormat="false" ht="15" hidden="false" customHeight="false" outlineLevel="0" collapsed="false">
      <c r="A30" s="51" t="n">
        <v>26</v>
      </c>
      <c r="B30" s="10" t="n">
        <v>853750</v>
      </c>
      <c r="C30" s="11" t="s">
        <v>2096</v>
      </c>
      <c r="D30" s="12" t="n">
        <v>37186</v>
      </c>
      <c r="E30" s="11" t="s">
        <v>642</v>
      </c>
      <c r="F30" s="11" t="s">
        <v>19</v>
      </c>
      <c r="G30" s="11" t="s">
        <v>2097</v>
      </c>
      <c r="H30" s="11" t="s">
        <v>2098</v>
      </c>
      <c r="I30" s="11" t="n">
        <v>893539</v>
      </c>
      <c r="J30" s="11" t="n">
        <v>6351</v>
      </c>
      <c r="K30" s="11" t="s">
        <v>22</v>
      </c>
      <c r="L30" s="11" t="n">
        <v>88992548509</v>
      </c>
      <c r="M30" s="11" t="s">
        <v>1210</v>
      </c>
      <c r="N30" s="24" t="n">
        <v>45824</v>
      </c>
      <c r="O30" s="25" t="n">
        <f aca="false">INT((N30-D30)/365.25)</f>
        <v>23</v>
      </c>
      <c r="P30" s="12" t="s">
        <v>22</v>
      </c>
      <c r="Q30" s="12"/>
    </row>
    <row r="31" customFormat="false" ht="15" hidden="false" customHeight="false" outlineLevel="0" collapsed="false">
      <c r="A31" s="51" t="n">
        <v>27</v>
      </c>
      <c r="B31" s="10" t="n">
        <v>869965</v>
      </c>
      <c r="C31" s="11" t="s">
        <v>2099</v>
      </c>
      <c r="D31" s="12" t="n">
        <v>31331</v>
      </c>
      <c r="E31" s="11" t="s">
        <v>2100</v>
      </c>
      <c r="F31" s="11" t="s">
        <v>138</v>
      </c>
      <c r="G31" s="11" t="s">
        <v>2101</v>
      </c>
      <c r="H31" s="11" t="s">
        <v>2102</v>
      </c>
      <c r="I31" s="11" t="n">
        <v>166938</v>
      </c>
      <c r="J31" s="11" t="n">
        <v>2389</v>
      </c>
      <c r="K31" s="11" t="s">
        <v>22</v>
      </c>
      <c r="L31" s="11" t="n">
        <v>88981872183</v>
      </c>
      <c r="M31" s="11" t="s">
        <v>1210</v>
      </c>
      <c r="N31" s="24" t="n">
        <v>45824</v>
      </c>
      <c r="O31" s="25" t="n">
        <f aca="false">INT((N31-D31)/365.25)</f>
        <v>39</v>
      </c>
      <c r="P31" s="12" t="s">
        <v>22</v>
      </c>
      <c r="Q31" s="12"/>
    </row>
    <row r="32" customFormat="false" ht="15" hidden="false" customHeight="false" outlineLevel="0" collapsed="false">
      <c r="A32" s="51" t="n">
        <v>28</v>
      </c>
      <c r="B32" s="10" t="n">
        <v>870233</v>
      </c>
      <c r="C32" s="11" t="s">
        <v>2103</v>
      </c>
      <c r="D32" s="12" t="n">
        <v>28501</v>
      </c>
      <c r="E32" s="11" t="s">
        <v>2100</v>
      </c>
      <c r="F32" s="11" t="s">
        <v>138</v>
      </c>
      <c r="G32" s="11" t="s">
        <v>2104</v>
      </c>
      <c r="H32" s="11" t="s">
        <v>2105</v>
      </c>
      <c r="I32" s="11" t="n">
        <v>6036764</v>
      </c>
      <c r="J32" s="11" t="n">
        <v>9365</v>
      </c>
      <c r="K32" s="34" t="s">
        <v>22</v>
      </c>
      <c r="L32" s="11" t="n">
        <v>88988602902</v>
      </c>
      <c r="M32" s="11" t="s">
        <v>1210</v>
      </c>
      <c r="N32" s="24" t="n">
        <v>45824</v>
      </c>
      <c r="O32" s="25" t="n">
        <f aca="false">INT((N32-D32)/365.25)</f>
        <v>47</v>
      </c>
      <c r="P32" s="12" t="s">
        <v>22</v>
      </c>
      <c r="Q32" s="12"/>
    </row>
    <row r="33" customFormat="false" ht="15" hidden="false" customHeight="false" outlineLevel="0" collapsed="false">
      <c r="A33" s="51" t="n">
        <v>29</v>
      </c>
      <c r="B33" s="10" t="n">
        <v>695105</v>
      </c>
      <c r="C33" s="11" t="s">
        <v>2106</v>
      </c>
      <c r="D33" s="12" t="n">
        <v>31535</v>
      </c>
      <c r="E33" s="11" t="s">
        <v>2100</v>
      </c>
      <c r="F33" s="11" t="s">
        <v>138</v>
      </c>
      <c r="G33" s="11" t="s">
        <v>2107</v>
      </c>
      <c r="H33" s="11" t="s">
        <v>2108</v>
      </c>
      <c r="I33" s="11" t="n">
        <v>554050</v>
      </c>
      <c r="J33" s="11" t="n">
        <v>3317</v>
      </c>
      <c r="K33" s="11" t="s">
        <v>22</v>
      </c>
      <c r="L33" s="11" t="n">
        <v>88992180941</v>
      </c>
      <c r="M33" s="11" t="s">
        <v>1210</v>
      </c>
      <c r="N33" s="24" t="n">
        <v>45824</v>
      </c>
      <c r="O33" s="25" t="n">
        <f aca="false">INT((N33-D33)/365.25)</f>
        <v>39</v>
      </c>
      <c r="P33" s="12" t="s">
        <v>22</v>
      </c>
      <c r="Q33" s="12"/>
    </row>
  </sheetData>
  <autoFilter ref="K1:K33"/>
  <mergeCells count="2">
    <mergeCell ref="A1:P2"/>
    <mergeCell ref="Q1:Q2"/>
  </mergeCells>
  <conditionalFormatting sqref="O5:O33">
    <cfRule type="colorScale" priority="2">
      <colorScale>
        <cfvo type="num" val="17"/>
        <cfvo type="num" val="18"/>
        <color rgb="FFFF0000"/>
        <color rgb="FF92D050"/>
      </colorScale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2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20" activeCellId="0" sqref="B20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8.72"/>
    <col collapsed="false" customWidth="true" hidden="false" outlineLevel="0" max="3" min="3" style="0" width="34"/>
    <col collapsed="false" customWidth="true" hidden="false" outlineLevel="0" max="4" min="4" style="0" width="9"/>
    <col collapsed="false" customWidth="true" hidden="false" outlineLevel="0" max="5" min="5" style="0" width="16.43"/>
    <col collapsed="false" customWidth="true" hidden="false" outlineLevel="0" max="6" min="6" style="0" width="6.43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8.29"/>
    <col collapsed="false" customWidth="true" hidden="false" outlineLevel="0" max="10" min="10" style="0" width="5"/>
    <col collapsed="false" customWidth="true" hidden="true" outlineLevel="0" max="11" min="11" style="0" width="6.14"/>
    <col collapsed="false" customWidth="true" hidden="false" outlineLevel="0" max="12" min="12" style="0" width="16.86"/>
    <col collapsed="false" customWidth="true" hidden="false" outlineLevel="0" max="13" min="13" style="0" width="17.29"/>
    <col collapsed="false" customWidth="true" hidden="false" outlineLevel="0" max="14" min="14" style="0" width="9.29"/>
    <col collapsed="false" customWidth="true" hidden="false" outlineLevel="0" max="15" min="15" style="0" width="8.43"/>
    <col collapsed="false" customWidth="true" hidden="false" outlineLevel="0" max="16" min="16" style="0" width="6.29"/>
    <col collapsed="false" customWidth="true" hidden="true" outlineLevel="0" max="17" min="17" style="0" width="22.29"/>
  </cols>
  <sheetData>
    <row r="1" customFormat="false" ht="15" hidden="false" customHeight="false" outlineLevel="0" collapsed="false">
      <c r="A1" s="54" t="s">
        <v>2109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</row>
    <row r="2" customFormat="false" ht="15" hidden="false" customHeight="false" outlineLevel="0" collapsed="false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</row>
    <row r="3" customFormat="false" ht="15" hidden="false" customHeight="false" outlineLevel="0" collapsed="false">
      <c r="A3" s="43"/>
      <c r="B3" s="44" t="s">
        <v>1</v>
      </c>
      <c r="C3" s="44" t="s">
        <v>2</v>
      </c>
      <c r="D3" s="44" t="s">
        <v>3</v>
      </c>
      <c r="E3" s="44" t="s">
        <v>4</v>
      </c>
      <c r="F3" s="44" t="s">
        <v>5</v>
      </c>
      <c r="G3" s="45" t="s">
        <v>6</v>
      </c>
      <c r="H3" s="44" t="s">
        <v>7</v>
      </c>
      <c r="I3" s="44" t="s">
        <v>8</v>
      </c>
      <c r="J3" s="44" t="s">
        <v>9</v>
      </c>
      <c r="K3" s="44" t="s">
        <v>10</v>
      </c>
      <c r="L3" s="44" t="s">
        <v>1101</v>
      </c>
      <c r="M3" s="44" t="s">
        <v>11</v>
      </c>
      <c r="N3" s="44" t="s">
        <v>12</v>
      </c>
      <c r="O3" s="44" t="s">
        <v>13</v>
      </c>
      <c r="P3" s="44" t="s">
        <v>16</v>
      </c>
      <c r="Q3" s="44" t="s">
        <v>2110</v>
      </c>
    </row>
    <row r="4" customFormat="false" ht="15" hidden="false" customHeight="false" outlineLevel="0" collapsed="false">
      <c r="A4" s="46"/>
      <c r="B4" s="47"/>
      <c r="C4" s="44" t="s">
        <v>2111</v>
      </c>
      <c r="D4" s="48"/>
      <c r="E4" s="47"/>
      <c r="F4" s="47"/>
      <c r="G4" s="47"/>
      <c r="H4" s="47"/>
      <c r="I4" s="47"/>
      <c r="J4" s="47"/>
      <c r="K4" s="47"/>
      <c r="L4" s="47"/>
      <c r="M4" s="49"/>
      <c r="N4" s="50"/>
      <c r="O4" s="44"/>
      <c r="P4" s="44"/>
      <c r="Q4" s="11"/>
    </row>
    <row r="5" customFormat="false" ht="15" hidden="false" customHeight="false" outlineLevel="0" collapsed="false">
      <c r="A5" s="51" t="n">
        <v>1</v>
      </c>
      <c r="B5" s="10" t="n">
        <v>873034</v>
      </c>
      <c r="C5" s="34" t="s">
        <v>2112</v>
      </c>
      <c r="D5" s="12" t="n">
        <v>38624</v>
      </c>
      <c r="E5" s="11" t="s">
        <v>150</v>
      </c>
      <c r="F5" s="11" t="s">
        <v>151</v>
      </c>
      <c r="G5" s="11" t="s">
        <v>2113</v>
      </c>
      <c r="H5" s="11" t="n">
        <v>11947105</v>
      </c>
      <c r="I5" s="11" t="n">
        <v>7207789</v>
      </c>
      <c r="J5" s="11" t="n">
        <v>2463</v>
      </c>
      <c r="K5" s="11" t="s">
        <v>30</v>
      </c>
      <c r="L5" s="11"/>
      <c r="M5" s="11" t="s">
        <v>2114</v>
      </c>
      <c r="N5" s="24" t="n">
        <v>45842</v>
      </c>
      <c r="O5" s="25" t="n">
        <f aca="false">INT((N5-D5)/365.25)</f>
        <v>19</v>
      </c>
      <c r="P5" s="12" t="s">
        <v>22</v>
      </c>
      <c r="Q5" s="11" t="s">
        <v>2115</v>
      </c>
    </row>
    <row r="6" customFormat="false" ht="15" hidden="false" customHeight="false" outlineLevel="0" collapsed="false">
      <c r="A6" s="51" t="n">
        <v>2</v>
      </c>
      <c r="B6" s="10" t="n">
        <v>871104</v>
      </c>
      <c r="C6" s="34" t="s">
        <v>2116</v>
      </c>
      <c r="D6" s="12" t="n">
        <v>31171</v>
      </c>
      <c r="E6" s="11" t="s">
        <v>150</v>
      </c>
      <c r="F6" s="11" t="s">
        <v>151</v>
      </c>
      <c r="G6" s="11" t="s">
        <v>2117</v>
      </c>
      <c r="H6" s="11" t="s">
        <v>2118</v>
      </c>
      <c r="I6" s="11" t="n">
        <v>32264</v>
      </c>
      <c r="J6" s="11" t="n">
        <v>37</v>
      </c>
      <c r="K6" s="11" t="s">
        <v>22</v>
      </c>
      <c r="L6" s="11"/>
      <c r="M6" s="11" t="s">
        <v>2119</v>
      </c>
      <c r="N6" s="24" t="n">
        <v>45840</v>
      </c>
      <c r="O6" s="25" t="n">
        <f aca="false">INT((N6-D6)/365.25)</f>
        <v>40</v>
      </c>
      <c r="P6" s="12" t="s">
        <v>22</v>
      </c>
      <c r="Q6" s="11" t="s">
        <v>2115</v>
      </c>
    </row>
    <row r="7" customFormat="false" ht="15" hidden="false" customHeight="false" outlineLevel="0" collapsed="false">
      <c r="A7" s="51" t="n">
        <v>3</v>
      </c>
      <c r="B7" s="10" t="n">
        <v>871105</v>
      </c>
      <c r="C7" s="34" t="s">
        <v>2120</v>
      </c>
      <c r="D7" s="12" t="n">
        <v>26950</v>
      </c>
      <c r="E7" s="11" t="s">
        <v>150</v>
      </c>
      <c r="F7" s="11" t="s">
        <v>151</v>
      </c>
      <c r="G7" s="11" t="s">
        <v>2121</v>
      </c>
      <c r="H7" s="11" t="n">
        <v>4594956</v>
      </c>
      <c r="I7" s="11" t="n">
        <v>1431</v>
      </c>
      <c r="J7" s="11" t="n">
        <v>37</v>
      </c>
      <c r="K7" s="11" t="s">
        <v>22</v>
      </c>
      <c r="L7" s="11"/>
      <c r="M7" s="11" t="s">
        <v>2119</v>
      </c>
      <c r="N7" s="24" t="n">
        <v>45840</v>
      </c>
      <c r="O7" s="25" t="n">
        <f aca="false">INT((N7-D7)/365.25)</f>
        <v>51</v>
      </c>
      <c r="P7" s="12" t="s">
        <v>22</v>
      </c>
      <c r="Q7" s="11"/>
    </row>
    <row r="8" customFormat="false" ht="15" hidden="false" customHeight="false" outlineLevel="0" collapsed="false">
      <c r="A8" s="51" t="n">
        <v>4</v>
      </c>
      <c r="B8" s="10" t="n">
        <v>861200</v>
      </c>
      <c r="C8" s="34" t="s">
        <v>2122</v>
      </c>
      <c r="D8" s="12" t="n">
        <v>37908</v>
      </c>
      <c r="E8" s="11" t="s">
        <v>150</v>
      </c>
      <c r="F8" s="11" t="s">
        <v>151</v>
      </c>
      <c r="G8" s="11" t="s">
        <v>2123</v>
      </c>
      <c r="H8" s="11" t="n">
        <v>10546812</v>
      </c>
      <c r="I8" s="11" t="n">
        <v>1367069</v>
      </c>
      <c r="J8" s="11" t="n">
        <v>5486</v>
      </c>
      <c r="K8" s="11" t="s">
        <v>22</v>
      </c>
      <c r="L8" s="11"/>
      <c r="M8" s="11" t="s">
        <v>2119</v>
      </c>
      <c r="N8" s="24" t="n">
        <v>45840</v>
      </c>
      <c r="O8" s="25" t="n">
        <f aca="false">INT((N8-D8)/365.25)</f>
        <v>21</v>
      </c>
      <c r="P8" s="12" t="s">
        <v>22</v>
      </c>
      <c r="Q8" s="11"/>
    </row>
    <row r="9" customFormat="false" ht="15" hidden="false" customHeight="false" outlineLevel="0" collapsed="false">
      <c r="A9" s="51" t="n">
        <v>5</v>
      </c>
      <c r="B9" s="10" t="n">
        <v>871106</v>
      </c>
      <c r="C9" s="34" t="s">
        <v>2124</v>
      </c>
      <c r="D9" s="12" t="n">
        <v>33800</v>
      </c>
      <c r="E9" s="11" t="s">
        <v>150</v>
      </c>
      <c r="F9" s="11" t="s">
        <v>151</v>
      </c>
      <c r="G9" s="11" t="s">
        <v>2125</v>
      </c>
      <c r="H9" s="11" t="n">
        <v>8283294</v>
      </c>
      <c r="I9" s="11" t="n">
        <v>1077692</v>
      </c>
      <c r="J9" s="11" t="n">
        <v>8465</v>
      </c>
      <c r="K9" s="11" t="s">
        <v>30</v>
      </c>
      <c r="L9" s="11" t="s">
        <v>22</v>
      </c>
      <c r="M9" s="11" t="s">
        <v>2126</v>
      </c>
      <c r="N9" s="24" t="n">
        <v>45844</v>
      </c>
      <c r="O9" s="25" t="n">
        <f aca="false">INT((N9-D9)/365.25)</f>
        <v>32</v>
      </c>
      <c r="P9" s="12" t="s">
        <v>22</v>
      </c>
      <c r="Q9" s="11"/>
    </row>
    <row r="10" customFormat="false" ht="15" hidden="false" customHeight="false" outlineLevel="0" collapsed="false">
      <c r="A10" s="51" t="n">
        <v>6</v>
      </c>
      <c r="B10" s="10" t="n">
        <v>872675</v>
      </c>
      <c r="C10" s="34" t="s">
        <v>2127</v>
      </c>
      <c r="D10" s="12" t="n">
        <v>38483</v>
      </c>
      <c r="E10" s="11" t="s">
        <v>150</v>
      </c>
      <c r="F10" s="11" t="s">
        <v>151</v>
      </c>
      <c r="G10" s="11" t="s">
        <v>2128</v>
      </c>
      <c r="H10" s="11" t="n">
        <v>11743362</v>
      </c>
      <c r="I10" s="11" t="n">
        <v>7193529</v>
      </c>
      <c r="J10" s="11" t="n">
        <v>4474</v>
      </c>
      <c r="K10" s="11" t="s">
        <v>30</v>
      </c>
      <c r="L10" s="11"/>
      <c r="M10" s="11" t="s">
        <v>2119</v>
      </c>
      <c r="N10" s="24" t="n">
        <v>45840</v>
      </c>
      <c r="O10" s="25" t="n">
        <f aca="false">INT((N10-D10)/365.25)</f>
        <v>20</v>
      </c>
      <c r="P10" s="12" t="s">
        <v>22</v>
      </c>
      <c r="Q10" s="11"/>
    </row>
    <row r="11" customFormat="false" ht="15" hidden="false" customHeight="false" outlineLevel="0" collapsed="false">
      <c r="A11" s="51" t="n">
        <v>7</v>
      </c>
      <c r="B11" s="10" t="n">
        <v>838980</v>
      </c>
      <c r="C11" s="34" t="s">
        <v>2129</v>
      </c>
      <c r="D11" s="12" t="n">
        <v>33663</v>
      </c>
      <c r="E11" s="11" t="s">
        <v>150</v>
      </c>
      <c r="F11" s="11" t="s">
        <v>151</v>
      </c>
      <c r="G11" s="11" t="s">
        <v>2130</v>
      </c>
      <c r="H11" s="11" t="n">
        <v>8507186</v>
      </c>
      <c r="I11" s="11" t="n">
        <v>183168</v>
      </c>
      <c r="J11" s="11" t="n">
        <v>6406</v>
      </c>
      <c r="K11" s="11" t="s">
        <v>22</v>
      </c>
      <c r="L11" s="11" t="s">
        <v>22</v>
      </c>
      <c r="M11" s="11" t="s">
        <v>2119</v>
      </c>
      <c r="N11" s="24" t="n">
        <v>45840</v>
      </c>
      <c r="O11" s="25" t="n">
        <f aca="false">INT((N11-D11)/365.25)</f>
        <v>33</v>
      </c>
      <c r="P11" s="12" t="s">
        <v>22</v>
      </c>
      <c r="Q11" s="11" t="s">
        <v>2131</v>
      </c>
    </row>
    <row r="12" customFormat="false" ht="15" hidden="false" customHeight="false" outlineLevel="0" collapsed="false">
      <c r="A12" s="51" t="n">
        <v>8</v>
      </c>
      <c r="B12" s="10" t="n">
        <v>871108</v>
      </c>
      <c r="C12" s="34" t="s">
        <v>2132</v>
      </c>
      <c r="D12" s="12" t="n">
        <v>37840</v>
      </c>
      <c r="E12" s="11" t="s">
        <v>150</v>
      </c>
      <c r="F12" s="11" t="s">
        <v>151</v>
      </c>
      <c r="G12" s="11" t="s">
        <v>2133</v>
      </c>
      <c r="H12" s="11" t="n">
        <v>11567370</v>
      </c>
      <c r="I12" s="11" t="n">
        <v>7198494</v>
      </c>
      <c r="J12" s="11" t="n">
        <v>9438</v>
      </c>
      <c r="K12" s="11" t="s">
        <v>30</v>
      </c>
      <c r="L12" s="11"/>
      <c r="M12" s="11" t="s">
        <v>2119</v>
      </c>
      <c r="N12" s="24" t="n">
        <v>45840</v>
      </c>
      <c r="O12" s="25" t="n">
        <f aca="false">INT((N12-D12)/365.25)</f>
        <v>21</v>
      </c>
      <c r="P12" s="12" t="s">
        <v>22</v>
      </c>
      <c r="Q12" s="11" t="s">
        <v>2131</v>
      </c>
    </row>
    <row r="13" customFormat="false" ht="15" hidden="false" customHeight="false" outlineLevel="0" collapsed="false">
      <c r="A13" s="51" t="n">
        <v>9</v>
      </c>
      <c r="B13" s="10" t="n">
        <v>834355</v>
      </c>
      <c r="C13" s="34" t="s">
        <v>2134</v>
      </c>
      <c r="D13" s="12" t="n">
        <v>37559</v>
      </c>
      <c r="E13" s="11" t="s">
        <v>150</v>
      </c>
      <c r="F13" s="11" t="s">
        <v>151</v>
      </c>
      <c r="G13" s="11" t="s">
        <v>2135</v>
      </c>
      <c r="H13" s="11" t="n">
        <v>25120327</v>
      </c>
      <c r="I13" s="11" t="n">
        <v>1141484</v>
      </c>
      <c r="J13" s="11" t="n">
        <v>3456</v>
      </c>
      <c r="K13" s="11" t="s">
        <v>22</v>
      </c>
      <c r="L13" s="11" t="s">
        <v>22</v>
      </c>
      <c r="M13" s="11" t="s">
        <v>2119</v>
      </c>
      <c r="N13" s="24" t="n">
        <v>45840</v>
      </c>
      <c r="O13" s="25" t="n">
        <f aca="false">INT((N13-D13)/365.25)</f>
        <v>22</v>
      </c>
      <c r="P13" s="12" t="s">
        <v>22</v>
      </c>
      <c r="Q13" s="11" t="s">
        <v>2136</v>
      </c>
    </row>
    <row r="14" customFormat="false" ht="15" hidden="false" customHeight="false" outlineLevel="0" collapsed="false">
      <c r="A14" s="51" t="n">
        <v>10</v>
      </c>
      <c r="B14" s="10" t="n">
        <v>819473</v>
      </c>
      <c r="C14" s="34" t="s">
        <v>2137</v>
      </c>
      <c r="D14" s="12" t="n">
        <v>30050</v>
      </c>
      <c r="E14" s="11" t="s">
        <v>150</v>
      </c>
      <c r="F14" s="11" t="s">
        <v>151</v>
      </c>
      <c r="G14" s="11" t="s">
        <v>2138</v>
      </c>
      <c r="H14" s="11" t="s">
        <v>2139</v>
      </c>
      <c r="I14" s="11" t="n">
        <v>30072</v>
      </c>
      <c r="J14" s="11" t="n">
        <v>37</v>
      </c>
      <c r="K14" s="11" t="s">
        <v>22</v>
      </c>
      <c r="L14" s="11" t="s">
        <v>22</v>
      </c>
      <c r="M14" s="11" t="s">
        <v>2140</v>
      </c>
      <c r="N14" s="24" t="n">
        <v>45843</v>
      </c>
      <c r="O14" s="25" t="n">
        <f aca="false">INT((N14-D14)/365.25)</f>
        <v>43</v>
      </c>
      <c r="P14" s="12" t="s">
        <v>22</v>
      </c>
      <c r="Q14" s="11"/>
    </row>
    <row r="15" customFormat="false" ht="15" hidden="false" customHeight="false" outlineLevel="0" collapsed="false">
      <c r="A15" s="51" t="n">
        <v>11</v>
      </c>
      <c r="B15" s="10" t="n">
        <v>860836</v>
      </c>
      <c r="C15" s="34" t="s">
        <v>2141</v>
      </c>
      <c r="D15" s="12" t="n">
        <v>37976</v>
      </c>
      <c r="E15" s="11" t="s">
        <v>150</v>
      </c>
      <c r="F15" s="11" t="s">
        <v>151</v>
      </c>
      <c r="G15" s="11" t="s">
        <v>2142</v>
      </c>
      <c r="H15" s="11" t="n">
        <v>11313792</v>
      </c>
      <c r="I15" s="11" t="n">
        <v>1608847</v>
      </c>
      <c r="J15" s="11" t="n">
        <v>9426</v>
      </c>
      <c r="K15" s="11" t="s">
        <v>30</v>
      </c>
      <c r="L15" s="11" t="s">
        <v>22</v>
      </c>
      <c r="M15" s="11" t="s">
        <v>2119</v>
      </c>
      <c r="N15" s="24" t="n">
        <v>45840</v>
      </c>
      <c r="O15" s="25" t="n">
        <f aca="false">INT((N15-D15)/365.25)</f>
        <v>21</v>
      </c>
      <c r="P15" s="12" t="s">
        <v>22</v>
      </c>
      <c r="Q15" s="11"/>
    </row>
    <row r="16" customFormat="false" ht="15" hidden="false" customHeight="false" outlineLevel="0" collapsed="false">
      <c r="A16" s="51" t="n">
        <v>12</v>
      </c>
      <c r="B16" s="10" t="n">
        <v>872672</v>
      </c>
      <c r="C16" s="34" t="s">
        <v>2143</v>
      </c>
      <c r="D16" s="12" t="n">
        <v>32651</v>
      </c>
      <c r="E16" s="11" t="s">
        <v>150</v>
      </c>
      <c r="F16" s="11" t="s">
        <v>151</v>
      </c>
      <c r="G16" s="11" t="s">
        <v>2144</v>
      </c>
      <c r="H16" s="11" t="n">
        <v>8739652</v>
      </c>
      <c r="I16" s="11" t="n">
        <v>7734</v>
      </c>
      <c r="J16" s="11" t="n">
        <v>37</v>
      </c>
      <c r="K16" s="11" t="s">
        <v>22</v>
      </c>
      <c r="L16" s="11"/>
      <c r="M16" s="11" t="s">
        <v>2119</v>
      </c>
      <c r="N16" s="24" t="n">
        <v>45840</v>
      </c>
      <c r="O16" s="25" t="n">
        <f aca="false">INT((N16-D16)/365.25)</f>
        <v>36</v>
      </c>
      <c r="P16" s="12" t="s">
        <v>22</v>
      </c>
      <c r="Q16" s="11"/>
    </row>
    <row r="17" customFormat="false" ht="15" hidden="false" customHeight="false" outlineLevel="0" collapsed="false">
      <c r="A17" s="51" t="n">
        <v>13</v>
      </c>
      <c r="B17" s="10" t="n">
        <v>871174</v>
      </c>
      <c r="C17" s="34" t="s">
        <v>2145</v>
      </c>
      <c r="D17" s="12" t="n">
        <v>38891</v>
      </c>
      <c r="E17" s="11" t="s">
        <v>150</v>
      </c>
      <c r="F17" s="11" t="s">
        <v>151</v>
      </c>
      <c r="G17" s="11" t="s">
        <v>2146</v>
      </c>
      <c r="H17" s="11" t="n">
        <v>10515740</v>
      </c>
      <c r="I17" s="11" t="n">
        <v>7147904</v>
      </c>
      <c r="J17" s="11" t="n">
        <v>6485</v>
      </c>
      <c r="K17" s="11" t="s">
        <v>22</v>
      </c>
      <c r="L17" s="11"/>
      <c r="M17" s="11" t="s">
        <v>2119</v>
      </c>
      <c r="N17" s="24" t="n">
        <v>45840</v>
      </c>
      <c r="O17" s="25" t="n">
        <f aca="false">INT((N17-D17)/365.25)</f>
        <v>19</v>
      </c>
      <c r="P17" s="12" t="s">
        <v>22</v>
      </c>
      <c r="Q17" s="11"/>
    </row>
    <row r="18" customFormat="false" ht="15" hidden="false" customHeight="false" outlineLevel="0" collapsed="false">
      <c r="A18" s="51" t="n">
        <v>14</v>
      </c>
      <c r="B18" s="10" t="n">
        <v>871177</v>
      </c>
      <c r="C18" s="11" t="s">
        <v>2147</v>
      </c>
      <c r="D18" s="12" t="n">
        <v>38555</v>
      </c>
      <c r="E18" s="11" t="s">
        <v>150</v>
      </c>
      <c r="F18" s="11" t="s">
        <v>151</v>
      </c>
      <c r="G18" s="11" t="s">
        <v>2148</v>
      </c>
      <c r="H18" s="34" t="s">
        <v>2149</v>
      </c>
      <c r="I18" s="11" t="n">
        <v>1311232</v>
      </c>
      <c r="J18" s="11" t="n">
        <v>6782</v>
      </c>
      <c r="K18" s="11" t="s">
        <v>30</v>
      </c>
      <c r="L18" s="11"/>
      <c r="M18" s="11" t="s">
        <v>2119</v>
      </c>
      <c r="N18" s="24" t="n">
        <v>45840</v>
      </c>
      <c r="O18" s="25" t="n">
        <f aca="false">INT((N18-D18)/365.25)</f>
        <v>19</v>
      </c>
      <c r="P18" s="12" t="s">
        <v>22</v>
      </c>
      <c r="Q18" s="11"/>
    </row>
    <row r="19" customFormat="false" ht="15" hidden="false" customHeight="false" outlineLevel="0" collapsed="false">
      <c r="A19" s="51" t="n">
        <v>15</v>
      </c>
      <c r="B19" s="10" t="n">
        <v>831066</v>
      </c>
      <c r="C19" s="11" t="s">
        <v>2150</v>
      </c>
      <c r="D19" s="12" t="n">
        <v>28205</v>
      </c>
      <c r="E19" s="11" t="s">
        <v>150</v>
      </c>
      <c r="F19" s="11" t="s">
        <v>151</v>
      </c>
      <c r="G19" s="11" t="s">
        <v>2151</v>
      </c>
      <c r="H19" s="11" t="n">
        <v>5335570</v>
      </c>
      <c r="I19" s="11" t="n">
        <v>242684</v>
      </c>
      <c r="J19" s="11" t="n">
        <v>7425</v>
      </c>
      <c r="K19" s="11" t="s">
        <v>30</v>
      </c>
      <c r="L19" s="11" t="s">
        <v>22</v>
      </c>
      <c r="M19" s="11" t="s">
        <v>2119</v>
      </c>
      <c r="N19" s="24" t="n">
        <v>45840</v>
      </c>
      <c r="O19" s="25" t="n">
        <f aca="false">INT((N19-D19)/365.25)</f>
        <v>48</v>
      </c>
      <c r="P19" s="12" t="s">
        <v>22</v>
      </c>
      <c r="Q19" s="11"/>
    </row>
    <row r="20" customFormat="false" ht="15" hidden="false" customHeight="false" outlineLevel="0" collapsed="false">
      <c r="A20" s="51" t="n">
        <v>16</v>
      </c>
      <c r="B20" s="10" t="n">
        <v>83358</v>
      </c>
      <c r="C20" s="53" t="s">
        <v>2152</v>
      </c>
      <c r="D20" s="12" t="n">
        <v>26245</v>
      </c>
      <c r="E20" s="11" t="s">
        <v>2153</v>
      </c>
      <c r="F20" s="11" t="s">
        <v>2154</v>
      </c>
      <c r="G20" s="11" t="s">
        <v>2155</v>
      </c>
      <c r="H20" s="11" t="n">
        <v>6587142</v>
      </c>
      <c r="I20" s="11" t="n">
        <v>7854715</v>
      </c>
      <c r="J20" s="11" t="n">
        <v>6615</v>
      </c>
      <c r="K20" s="11" t="s">
        <v>22</v>
      </c>
      <c r="L20" s="11" t="s">
        <v>22</v>
      </c>
      <c r="M20" s="11" t="s">
        <v>2119</v>
      </c>
      <c r="N20" s="24" t="n">
        <v>45840</v>
      </c>
      <c r="O20" s="25" t="n">
        <f aca="false">INT((N20-D20)/365.25)</f>
        <v>53</v>
      </c>
      <c r="P20" s="12" t="s">
        <v>22</v>
      </c>
      <c r="Q20" s="11"/>
    </row>
    <row r="21" customFormat="false" ht="15" hidden="false" customHeight="false" outlineLevel="0" collapsed="false">
      <c r="A21" s="51" t="n">
        <v>17</v>
      </c>
      <c r="B21" s="10" t="n">
        <v>871179</v>
      </c>
      <c r="C21" s="11" t="s">
        <v>2156</v>
      </c>
      <c r="D21" s="12" t="n">
        <v>37815</v>
      </c>
      <c r="E21" s="11" t="s">
        <v>150</v>
      </c>
      <c r="F21" s="11" t="s">
        <v>151</v>
      </c>
      <c r="G21" s="11" t="s">
        <v>2157</v>
      </c>
      <c r="H21" s="11" t="n">
        <v>11340133</v>
      </c>
      <c r="I21" s="11" t="n">
        <v>7191353</v>
      </c>
      <c r="J21" s="11" t="n">
        <v>6432</v>
      </c>
      <c r="K21" s="11" t="s">
        <v>22</v>
      </c>
      <c r="L21" s="11"/>
      <c r="M21" s="11" t="s">
        <v>2119</v>
      </c>
      <c r="N21" s="24" t="n">
        <v>45840</v>
      </c>
      <c r="O21" s="25" t="n">
        <f aca="false">INT((N21-D21)/365.25)</f>
        <v>21</v>
      </c>
      <c r="P21" s="12" t="s">
        <v>22</v>
      </c>
    </row>
    <row r="22" customFormat="false" ht="14.25" hidden="false" customHeight="true" outlineLevel="0" collapsed="false">
      <c r="A22" s="51" t="n">
        <v>18</v>
      </c>
      <c r="B22" s="10" t="n">
        <v>872754</v>
      </c>
      <c r="C22" s="34" t="s">
        <v>2158</v>
      </c>
      <c r="D22" s="12" t="n">
        <v>35230</v>
      </c>
      <c r="E22" s="11" t="s">
        <v>150</v>
      </c>
      <c r="F22" s="11" t="s">
        <v>151</v>
      </c>
      <c r="G22" s="11" t="s">
        <v>2159</v>
      </c>
      <c r="H22" s="11" t="n">
        <v>8348795</v>
      </c>
      <c r="I22" s="11" t="n">
        <v>74419</v>
      </c>
      <c r="J22" s="11" t="n">
        <v>37</v>
      </c>
      <c r="K22" s="11" t="s">
        <v>22</v>
      </c>
      <c r="L22" s="11"/>
      <c r="M22" s="11" t="s">
        <v>2119</v>
      </c>
      <c r="N22" s="24" t="n">
        <v>45840</v>
      </c>
      <c r="O22" s="25" t="n">
        <f aca="false">INT((N22-D22)/365.25)</f>
        <v>29</v>
      </c>
      <c r="P22" s="12" t="s">
        <v>22</v>
      </c>
    </row>
    <row r="23" customFormat="false" ht="15" hidden="false" customHeight="false" outlineLevel="0" collapsed="false">
      <c r="A23" s="51" t="n">
        <v>19</v>
      </c>
      <c r="B23" s="10" t="n">
        <v>872804</v>
      </c>
      <c r="C23" s="11" t="s">
        <v>2160</v>
      </c>
      <c r="D23" s="12" t="n">
        <v>38253</v>
      </c>
      <c r="E23" s="11" t="s">
        <v>150</v>
      </c>
      <c r="F23" s="11" t="s">
        <v>151</v>
      </c>
      <c r="G23" s="11" t="s">
        <v>2161</v>
      </c>
      <c r="H23" s="11" t="n">
        <v>11079367</v>
      </c>
      <c r="I23" s="11" t="n">
        <v>7189718</v>
      </c>
      <c r="J23" s="11" t="n">
        <v>5405</v>
      </c>
      <c r="K23" s="11" t="s">
        <v>30</v>
      </c>
      <c r="L23" s="11"/>
      <c r="M23" s="11" t="s">
        <v>2162</v>
      </c>
      <c r="N23" s="24" t="n">
        <v>45841</v>
      </c>
      <c r="O23" s="25" t="n">
        <f aca="false">INT((N23-D23)/365.25)</f>
        <v>20</v>
      </c>
      <c r="P23" s="12" t="s">
        <v>22</v>
      </c>
    </row>
    <row r="24" customFormat="false" ht="15" hidden="false" customHeight="false" outlineLevel="0" collapsed="false">
      <c r="A24" s="51" t="n">
        <v>20</v>
      </c>
      <c r="B24" s="10" t="n">
        <v>872670</v>
      </c>
      <c r="C24" s="34" t="s">
        <v>2163</v>
      </c>
      <c r="D24" s="12" t="n">
        <v>35230</v>
      </c>
      <c r="E24" s="11" t="s">
        <v>150</v>
      </c>
      <c r="F24" s="11" t="s">
        <v>151</v>
      </c>
      <c r="G24" s="11" t="s">
        <v>2164</v>
      </c>
      <c r="H24" s="11" t="n">
        <v>8348801</v>
      </c>
      <c r="I24" s="11" t="n">
        <v>1249765</v>
      </c>
      <c r="J24" s="11" t="n">
        <v>1450</v>
      </c>
      <c r="K24" s="11" t="s">
        <v>22</v>
      </c>
      <c r="L24" s="11"/>
      <c r="M24" s="11" t="s">
        <v>2119</v>
      </c>
      <c r="N24" s="24" t="n">
        <v>45840</v>
      </c>
      <c r="O24" s="25" t="n">
        <f aca="false">INT((N24-D24)/365.25)</f>
        <v>29</v>
      </c>
      <c r="P24" s="12" t="s">
        <v>22</v>
      </c>
    </row>
  </sheetData>
  <autoFilter ref="C1:C20"/>
  <mergeCells count="1">
    <mergeCell ref="A1:Q2"/>
  </mergeCells>
  <conditionalFormatting sqref="O5:O24">
    <cfRule type="colorScale" priority="2">
      <colorScale>
        <cfvo type="num" val="17"/>
        <cfvo type="num" val="18"/>
        <color rgb="FFFF0000"/>
        <color rgb="FF92D050"/>
      </colorScale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40"/>
  <sheetViews>
    <sheetView showFormulas="false" showGridLines="true" showRowColHeaders="true" showZeros="true" rightToLeft="false" tabSelected="false" showOutlineSymbols="true" defaultGridColor="true" view="normal" topLeftCell="A4" colorId="64" zoomScale="90" zoomScaleNormal="90" zoomScalePageLayoutView="100" workbookViewId="0">
      <selection pane="topLeft" activeCell="N25" activeCellId="0" sqref="N25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8.29"/>
    <col collapsed="false" customWidth="true" hidden="false" outlineLevel="0" max="3" min="3" style="0" width="31.72"/>
    <col collapsed="false" customWidth="true" hidden="false" outlineLevel="0" max="4" min="4" style="0" width="9"/>
    <col collapsed="false" customWidth="true" hidden="false" outlineLevel="0" max="5" min="5" style="0" width="16.43"/>
    <col collapsed="false" customWidth="true" hidden="false" outlineLevel="0" max="6" min="6" style="0" width="6.43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8.29"/>
    <col collapsed="false" customWidth="true" hidden="false" outlineLevel="0" max="10" min="10" style="0" width="5"/>
    <col collapsed="false" customWidth="true" hidden="true" outlineLevel="0" max="12" min="11" style="0" width="6.14"/>
    <col collapsed="false" customWidth="true" hidden="true" outlineLevel="0" max="13" min="13" style="0" width="8.29"/>
    <col collapsed="false" customWidth="true" hidden="false" outlineLevel="0" max="14" min="14" style="0" width="17.29"/>
    <col collapsed="false" customWidth="true" hidden="false" outlineLevel="0" max="15" min="15" style="0" width="9.29"/>
    <col collapsed="false" customWidth="true" hidden="false" outlineLevel="0" max="16" min="16" style="0" width="5.71"/>
    <col collapsed="false" customWidth="true" hidden="false" outlineLevel="0" max="17" min="17" style="0" width="7"/>
    <col collapsed="false" customWidth="true" hidden="true" outlineLevel="0" max="18" min="18" style="0" width="12.86"/>
  </cols>
  <sheetData>
    <row r="1" customFormat="false" ht="15" hidden="false" customHeight="false" outlineLevel="0" collapsed="false">
      <c r="A1" s="54" t="s">
        <v>2018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</row>
    <row r="2" customFormat="false" ht="15" hidden="false" customHeight="false" outlineLevel="0" collapsed="false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</row>
    <row r="3" customFormat="false" ht="15" hidden="false" customHeight="false" outlineLevel="0" collapsed="false">
      <c r="A3" s="43"/>
      <c r="B3" s="44" t="s">
        <v>1</v>
      </c>
      <c r="C3" s="44" t="s">
        <v>2</v>
      </c>
      <c r="D3" s="44" t="s">
        <v>3</v>
      </c>
      <c r="E3" s="44" t="s">
        <v>4</v>
      </c>
      <c r="F3" s="44" t="s">
        <v>5</v>
      </c>
      <c r="G3" s="45" t="s">
        <v>6</v>
      </c>
      <c r="H3" s="44" t="s">
        <v>7</v>
      </c>
      <c r="I3" s="44" t="s">
        <v>8</v>
      </c>
      <c r="J3" s="44" t="s">
        <v>9</v>
      </c>
      <c r="K3" s="44" t="s">
        <v>1483</v>
      </c>
      <c r="L3" s="44" t="s">
        <v>10</v>
      </c>
      <c r="M3" s="44" t="s">
        <v>1101</v>
      </c>
      <c r="N3" s="44" t="s">
        <v>11</v>
      </c>
      <c r="O3" s="44" t="s">
        <v>12</v>
      </c>
      <c r="P3" s="44" t="s">
        <v>13</v>
      </c>
      <c r="Q3" s="44" t="s">
        <v>16</v>
      </c>
      <c r="R3" s="44" t="s">
        <v>2110</v>
      </c>
    </row>
    <row r="4" customFormat="false" ht="15" hidden="false" customHeight="false" outlineLevel="0" collapsed="false">
      <c r="A4" s="46"/>
      <c r="B4" s="47"/>
      <c r="C4" s="44" t="s">
        <v>2165</v>
      </c>
      <c r="D4" s="48"/>
      <c r="E4" s="47"/>
      <c r="F4" s="47"/>
      <c r="G4" s="47"/>
      <c r="H4" s="47"/>
      <c r="I4" s="47"/>
      <c r="J4" s="47"/>
      <c r="K4" s="47"/>
      <c r="L4" s="47"/>
      <c r="M4" s="47"/>
      <c r="N4" s="49"/>
      <c r="O4" s="50"/>
      <c r="P4" s="44"/>
      <c r="Q4" s="44"/>
      <c r="R4" s="44"/>
    </row>
    <row r="5" customFormat="false" ht="15" hidden="false" customHeight="false" outlineLevel="0" collapsed="false">
      <c r="A5" s="51" t="n">
        <v>1</v>
      </c>
      <c r="B5" s="11" t="n">
        <v>872867</v>
      </c>
      <c r="C5" s="12" t="s">
        <v>2166</v>
      </c>
      <c r="D5" s="12" t="n">
        <v>38680</v>
      </c>
      <c r="E5" s="11" t="s">
        <v>1538</v>
      </c>
      <c r="F5" s="11" t="s">
        <v>160</v>
      </c>
      <c r="G5" s="11" t="s">
        <v>2167</v>
      </c>
      <c r="H5" s="11" t="s">
        <v>2168</v>
      </c>
      <c r="I5" s="11" t="n">
        <v>1220317</v>
      </c>
      <c r="J5" s="11" t="n">
        <v>7489</v>
      </c>
      <c r="K5" s="11"/>
      <c r="L5" s="11" t="s">
        <v>22</v>
      </c>
      <c r="M5" s="11"/>
      <c r="N5" s="11" t="s">
        <v>2119</v>
      </c>
      <c r="O5" s="24" t="n">
        <v>45840</v>
      </c>
      <c r="P5" s="25" t="n">
        <f aca="false">INT((O5-D5)/365.25)</f>
        <v>19</v>
      </c>
      <c r="Q5" s="12" t="s">
        <v>22</v>
      </c>
      <c r="R5" s="12" t="s">
        <v>2169</v>
      </c>
    </row>
    <row r="6" customFormat="false" ht="15" hidden="false" customHeight="false" outlineLevel="0" collapsed="false">
      <c r="A6" s="51" t="n">
        <v>2</v>
      </c>
      <c r="B6" s="11" t="n">
        <v>872811</v>
      </c>
      <c r="C6" s="12" t="s">
        <v>2170</v>
      </c>
      <c r="D6" s="12" t="n">
        <v>37682</v>
      </c>
      <c r="E6" s="11" t="s">
        <v>1538</v>
      </c>
      <c r="F6" s="11" t="s">
        <v>160</v>
      </c>
      <c r="G6" s="11" t="s">
        <v>2171</v>
      </c>
      <c r="H6" s="11" t="s">
        <v>2171</v>
      </c>
      <c r="I6" s="11" t="n">
        <v>1458522</v>
      </c>
      <c r="J6" s="11" t="n">
        <v>2456</v>
      </c>
      <c r="K6" s="11" t="n">
        <v>380</v>
      </c>
      <c r="L6" s="11" t="s">
        <v>22</v>
      </c>
      <c r="M6" s="11"/>
      <c r="N6" s="11" t="s">
        <v>2119</v>
      </c>
      <c r="O6" s="24" t="n">
        <v>45840</v>
      </c>
      <c r="P6" s="25" t="n">
        <f aca="false">INT((O6-D6)/365.25)</f>
        <v>22</v>
      </c>
      <c r="Q6" s="12" t="s">
        <v>22</v>
      </c>
      <c r="R6" s="12" t="s">
        <v>2169</v>
      </c>
    </row>
    <row r="7" customFormat="false" ht="15" hidden="false" customHeight="false" outlineLevel="0" collapsed="false">
      <c r="A7" s="51" t="n">
        <v>3</v>
      </c>
      <c r="B7" s="11" t="n">
        <v>872177</v>
      </c>
      <c r="C7" s="12" t="s">
        <v>2172</v>
      </c>
      <c r="D7" s="12" t="n">
        <v>37626</v>
      </c>
      <c r="E7" s="11" t="s">
        <v>1538</v>
      </c>
      <c r="F7" s="11" t="s">
        <v>160</v>
      </c>
      <c r="G7" s="11" t="s">
        <v>2173</v>
      </c>
      <c r="H7" s="11" t="s">
        <v>2173</v>
      </c>
      <c r="I7" s="11" t="n">
        <v>1512302</v>
      </c>
      <c r="J7" s="11" t="n">
        <v>4492</v>
      </c>
      <c r="K7" s="11" t="n">
        <v>260</v>
      </c>
      <c r="L7" s="11" t="s">
        <v>22</v>
      </c>
      <c r="M7" s="11"/>
      <c r="N7" s="11" t="s">
        <v>2119</v>
      </c>
      <c r="O7" s="24" t="n">
        <v>45840</v>
      </c>
      <c r="P7" s="25" t="n">
        <f aca="false">INT((O7-D7)/365.25)</f>
        <v>22</v>
      </c>
      <c r="Q7" s="12" t="s">
        <v>22</v>
      </c>
      <c r="R7" s="12" t="s">
        <v>2169</v>
      </c>
    </row>
    <row r="8" customFormat="false" ht="15" hidden="false" customHeight="false" outlineLevel="0" collapsed="false">
      <c r="A8" s="51" t="n">
        <v>4</v>
      </c>
      <c r="B8" s="11" t="n">
        <v>851604</v>
      </c>
      <c r="C8" s="12" t="s">
        <v>2174</v>
      </c>
      <c r="D8" s="12" t="n">
        <v>37607</v>
      </c>
      <c r="E8" s="11" t="s">
        <v>1538</v>
      </c>
      <c r="F8" s="11" t="s">
        <v>160</v>
      </c>
      <c r="G8" s="11" t="s">
        <v>2175</v>
      </c>
      <c r="H8" s="11" t="n">
        <v>45110339</v>
      </c>
      <c r="I8" s="11" t="n">
        <v>770574</v>
      </c>
      <c r="J8" s="11" t="n">
        <v>4406</v>
      </c>
      <c r="K8" s="11"/>
      <c r="L8" s="11" t="s">
        <v>30</v>
      </c>
      <c r="M8" s="11"/>
      <c r="N8" s="11" t="s">
        <v>2119</v>
      </c>
      <c r="O8" s="24" t="n">
        <v>45840</v>
      </c>
      <c r="P8" s="25" t="n">
        <f aca="false">INT((O8-D8)/365.25)</f>
        <v>22</v>
      </c>
      <c r="Q8" s="12" t="s">
        <v>22</v>
      </c>
      <c r="R8" s="12"/>
    </row>
    <row r="9" customFormat="false" ht="15" hidden="false" customHeight="false" outlineLevel="0" collapsed="false">
      <c r="A9" s="51" t="n">
        <v>5</v>
      </c>
      <c r="B9" s="11" t="n">
        <v>872863</v>
      </c>
      <c r="C9" s="12" t="s">
        <v>2176</v>
      </c>
      <c r="D9" s="12" t="n">
        <v>36545</v>
      </c>
      <c r="E9" s="11" t="s">
        <v>1538</v>
      </c>
      <c r="F9" s="11" t="s">
        <v>160</v>
      </c>
      <c r="G9" s="11" t="s">
        <v>2177</v>
      </c>
      <c r="H9" s="11" t="s">
        <v>2178</v>
      </c>
      <c r="I9" s="11" t="n">
        <v>5162392</v>
      </c>
      <c r="J9" s="11" t="n">
        <v>60</v>
      </c>
      <c r="K9" s="11"/>
      <c r="L9" s="11" t="s">
        <v>22</v>
      </c>
      <c r="M9" s="11"/>
      <c r="N9" s="11" t="s">
        <v>2119</v>
      </c>
      <c r="O9" s="24" t="n">
        <v>45840</v>
      </c>
      <c r="P9" s="25" t="n">
        <f aca="false">INT((O9-D9)/365.25)</f>
        <v>25</v>
      </c>
      <c r="Q9" s="12" t="s">
        <v>22</v>
      </c>
      <c r="R9" s="12" t="s">
        <v>22</v>
      </c>
    </row>
    <row r="10" customFormat="false" ht="15" hidden="false" customHeight="false" outlineLevel="0" collapsed="false">
      <c r="A10" s="51" t="n">
        <v>6</v>
      </c>
      <c r="B10" s="11" t="n">
        <v>871541</v>
      </c>
      <c r="C10" s="12" t="s">
        <v>2179</v>
      </c>
      <c r="D10" s="12" t="n">
        <v>37133</v>
      </c>
      <c r="E10" s="11" t="s">
        <v>2180</v>
      </c>
      <c r="F10" s="11" t="s">
        <v>160</v>
      </c>
      <c r="G10" s="11" t="s">
        <v>2181</v>
      </c>
      <c r="H10" s="11" t="s">
        <v>2182</v>
      </c>
      <c r="I10" s="11" t="n">
        <v>1461179</v>
      </c>
      <c r="J10" s="11" t="n">
        <v>410</v>
      </c>
      <c r="K10" s="11" t="s">
        <v>2183</v>
      </c>
      <c r="L10" s="11" t="s">
        <v>22</v>
      </c>
      <c r="M10" s="11"/>
      <c r="N10" s="11" t="s">
        <v>2119</v>
      </c>
      <c r="O10" s="24" t="n">
        <v>45840</v>
      </c>
      <c r="P10" s="25" t="n">
        <f aca="false">INT((O10-D10)/365.25)</f>
        <v>23</v>
      </c>
      <c r="Q10" s="12" t="s">
        <v>22</v>
      </c>
      <c r="R10" s="12" t="s">
        <v>22</v>
      </c>
    </row>
    <row r="11" customFormat="false" ht="14.25" hidden="false" customHeight="true" outlineLevel="0" collapsed="false">
      <c r="A11" s="51" t="n">
        <v>7</v>
      </c>
      <c r="B11" s="53" t="n">
        <v>855753</v>
      </c>
      <c r="C11" s="26" t="s">
        <v>2184</v>
      </c>
      <c r="D11" s="12" t="n">
        <v>34381</v>
      </c>
      <c r="E11" s="11" t="s">
        <v>1538</v>
      </c>
      <c r="F11" s="11" t="s">
        <v>160</v>
      </c>
      <c r="G11" s="11" t="s">
        <v>2185</v>
      </c>
      <c r="H11" s="11" t="s">
        <v>2185</v>
      </c>
      <c r="I11" s="11" t="n">
        <v>1087478</v>
      </c>
      <c r="J11" s="11" t="n">
        <v>6428</v>
      </c>
      <c r="K11" s="11" t="n">
        <v>237</v>
      </c>
      <c r="L11" s="11" t="s">
        <v>22</v>
      </c>
      <c r="M11" s="11"/>
      <c r="N11" s="11" t="s">
        <v>2119</v>
      </c>
      <c r="O11" s="24" t="n">
        <v>45840</v>
      </c>
      <c r="P11" s="25" t="n">
        <f aca="false">INT((O11-D11)/365.25)</f>
        <v>31</v>
      </c>
      <c r="Q11" s="12" t="s">
        <v>22</v>
      </c>
      <c r="R11" s="12" t="s">
        <v>22</v>
      </c>
    </row>
    <row r="12" customFormat="false" ht="15" hidden="false" customHeight="false" outlineLevel="0" collapsed="false">
      <c r="A12" s="51" t="n">
        <v>8</v>
      </c>
      <c r="B12" s="11" t="n">
        <v>851634</v>
      </c>
      <c r="C12" s="12" t="s">
        <v>2186</v>
      </c>
      <c r="D12" s="12" t="n">
        <v>36626</v>
      </c>
      <c r="E12" s="11" t="s">
        <v>1538</v>
      </c>
      <c r="F12" s="11" t="s">
        <v>160</v>
      </c>
      <c r="G12" s="11" t="s">
        <v>2187</v>
      </c>
      <c r="H12" s="11" t="s">
        <v>2187</v>
      </c>
      <c r="I12" s="11" t="n">
        <v>1375115</v>
      </c>
      <c r="J12" s="11" t="n">
        <v>2431</v>
      </c>
      <c r="K12" s="11" t="n">
        <v>380</v>
      </c>
      <c r="L12" s="11" t="s">
        <v>22</v>
      </c>
      <c r="M12" s="11"/>
      <c r="N12" s="11" t="s">
        <v>2119</v>
      </c>
      <c r="O12" s="24" t="n">
        <v>45840</v>
      </c>
      <c r="P12" s="25" t="n">
        <f aca="false">INT((O12-D12)/365.25)</f>
        <v>25</v>
      </c>
      <c r="Q12" s="12" t="s">
        <v>22</v>
      </c>
      <c r="R12" s="12" t="s">
        <v>2169</v>
      </c>
    </row>
    <row r="13" customFormat="false" ht="15" hidden="false" customHeight="false" outlineLevel="0" collapsed="false">
      <c r="A13" s="51" t="n">
        <v>9</v>
      </c>
      <c r="B13" s="11" t="n">
        <v>872201</v>
      </c>
      <c r="C13" s="12" t="s">
        <v>2188</v>
      </c>
      <c r="D13" s="12" t="n">
        <v>38237</v>
      </c>
      <c r="E13" s="11" t="s">
        <v>1538</v>
      </c>
      <c r="F13" s="11" t="s">
        <v>160</v>
      </c>
      <c r="G13" s="11" t="s">
        <v>2189</v>
      </c>
      <c r="H13" s="11" t="s">
        <v>2189</v>
      </c>
      <c r="I13" s="11" t="s">
        <v>2190</v>
      </c>
      <c r="J13" s="11" t="n">
        <v>4418</v>
      </c>
      <c r="K13" s="11" t="n">
        <v>380</v>
      </c>
      <c r="L13" s="11" t="s">
        <v>22</v>
      </c>
      <c r="M13" s="11"/>
      <c r="N13" s="11" t="s">
        <v>2119</v>
      </c>
      <c r="O13" s="24" t="n">
        <v>45840</v>
      </c>
      <c r="P13" s="25" t="n">
        <f aca="false">INT((O13-D13)/365.25)</f>
        <v>20</v>
      </c>
      <c r="Q13" s="12" t="s">
        <v>22</v>
      </c>
      <c r="R13" s="12" t="s">
        <v>2169</v>
      </c>
    </row>
    <row r="14" customFormat="false" ht="15" hidden="false" customHeight="false" outlineLevel="0" collapsed="false">
      <c r="A14" s="51" t="n">
        <v>10</v>
      </c>
      <c r="B14" s="11" t="n">
        <v>855779</v>
      </c>
      <c r="C14" s="12" t="s">
        <v>2191</v>
      </c>
      <c r="D14" s="12" t="n">
        <v>37576</v>
      </c>
      <c r="E14" s="11" t="s">
        <v>1538</v>
      </c>
      <c r="F14" s="11" t="s">
        <v>160</v>
      </c>
      <c r="G14" s="11" t="s">
        <v>2192</v>
      </c>
      <c r="H14" s="11" t="s">
        <v>2192</v>
      </c>
      <c r="I14" s="11" t="n">
        <v>1513567</v>
      </c>
      <c r="J14" s="11" t="n">
        <v>6406</v>
      </c>
      <c r="K14" s="11" t="n">
        <v>260</v>
      </c>
      <c r="L14" s="11" t="s">
        <v>22</v>
      </c>
      <c r="M14" s="11"/>
      <c r="N14" s="11" t="s">
        <v>2119</v>
      </c>
      <c r="O14" s="24" t="n">
        <v>45840</v>
      </c>
      <c r="P14" s="25" t="n">
        <f aca="false">INT((O14-D14)/365.25)</f>
        <v>22</v>
      </c>
      <c r="Q14" s="12" t="s">
        <v>22</v>
      </c>
      <c r="R14" s="12" t="s">
        <v>2169</v>
      </c>
    </row>
    <row r="15" customFormat="false" ht="15" hidden="false" customHeight="false" outlineLevel="0" collapsed="false">
      <c r="A15" s="51" t="n">
        <v>11</v>
      </c>
      <c r="B15" s="11" t="n">
        <v>851588</v>
      </c>
      <c r="C15" s="12" t="s">
        <v>2193</v>
      </c>
      <c r="D15" s="12" t="n">
        <v>37615</v>
      </c>
      <c r="E15" s="11" t="s">
        <v>1538</v>
      </c>
      <c r="F15" s="11" t="s">
        <v>160</v>
      </c>
      <c r="G15" s="11" t="s">
        <v>2194</v>
      </c>
      <c r="H15" s="11" t="s">
        <v>2194</v>
      </c>
      <c r="I15" s="11" t="n">
        <v>1659030</v>
      </c>
      <c r="J15" s="11" t="n">
        <v>8624</v>
      </c>
      <c r="K15" s="11" t="n">
        <v>260</v>
      </c>
      <c r="L15" s="11" t="s">
        <v>22</v>
      </c>
      <c r="M15" s="11"/>
      <c r="N15" s="11" t="s">
        <v>2119</v>
      </c>
      <c r="O15" s="24" t="n">
        <v>45840</v>
      </c>
      <c r="P15" s="25" t="n">
        <f aca="false">INT((O15-D15)/365.25)</f>
        <v>22</v>
      </c>
      <c r="Q15" s="12" t="s">
        <v>22</v>
      </c>
      <c r="R15" s="12" t="s">
        <v>2169</v>
      </c>
    </row>
    <row r="16" customFormat="false" ht="15" hidden="false" customHeight="false" outlineLevel="0" collapsed="false">
      <c r="A16" s="51" t="n">
        <v>12</v>
      </c>
      <c r="B16" s="11" t="n">
        <v>872812</v>
      </c>
      <c r="C16" s="12" t="s">
        <v>2195</v>
      </c>
      <c r="D16" s="12" t="n">
        <v>36715</v>
      </c>
      <c r="E16" s="11" t="s">
        <v>2180</v>
      </c>
      <c r="F16" s="11" t="s">
        <v>160</v>
      </c>
      <c r="G16" s="11" t="s">
        <v>2196</v>
      </c>
      <c r="H16" s="11" t="s">
        <v>2197</v>
      </c>
      <c r="I16" s="11" t="n">
        <v>1578586</v>
      </c>
      <c r="J16" s="11" t="n">
        <v>8440</v>
      </c>
      <c r="K16" s="11" t="n">
        <v>623</v>
      </c>
      <c r="L16" s="11" t="s">
        <v>22</v>
      </c>
      <c r="M16" s="11"/>
      <c r="N16" s="11" t="s">
        <v>2119</v>
      </c>
      <c r="O16" s="24" t="n">
        <v>45840</v>
      </c>
      <c r="P16" s="25" t="n">
        <f aca="false">INT((O16-D16)/365.25)</f>
        <v>24</v>
      </c>
      <c r="Q16" s="12" t="s">
        <v>22</v>
      </c>
      <c r="R16" s="12" t="s">
        <v>1509</v>
      </c>
    </row>
    <row r="17" customFormat="false" ht="15" hidden="false" customHeight="false" outlineLevel="0" collapsed="false">
      <c r="A17" s="51" t="n">
        <v>13</v>
      </c>
      <c r="B17" s="11" t="n">
        <v>870466</v>
      </c>
      <c r="C17" s="12" t="s">
        <v>2198</v>
      </c>
      <c r="D17" s="12" t="n">
        <v>33764</v>
      </c>
      <c r="E17" s="11" t="s">
        <v>1538</v>
      </c>
      <c r="F17" s="11" t="s">
        <v>160</v>
      </c>
      <c r="G17" s="11" t="s">
        <v>2199</v>
      </c>
      <c r="H17" s="11" t="s">
        <v>2199</v>
      </c>
      <c r="I17" s="11" t="n">
        <v>1083227</v>
      </c>
      <c r="J17" s="11" t="n">
        <v>6456</v>
      </c>
      <c r="K17" s="11" t="n">
        <v>380</v>
      </c>
      <c r="L17" s="11" t="s">
        <v>22</v>
      </c>
      <c r="M17" s="11"/>
      <c r="N17" s="11" t="s">
        <v>2119</v>
      </c>
      <c r="O17" s="24" t="n">
        <v>45840</v>
      </c>
      <c r="P17" s="25" t="n">
        <f aca="false">INT((O17-D17)/365.25)</f>
        <v>33</v>
      </c>
      <c r="Q17" s="12" t="s">
        <v>22</v>
      </c>
      <c r="R17" s="12" t="s">
        <v>1483</v>
      </c>
    </row>
    <row r="18" customFormat="false" ht="15" hidden="false" customHeight="false" outlineLevel="0" collapsed="false">
      <c r="A18" s="51" t="n">
        <v>14</v>
      </c>
      <c r="B18" s="11" t="n">
        <v>872185</v>
      </c>
      <c r="C18" s="12" t="s">
        <v>2200</v>
      </c>
      <c r="D18" s="12" t="n">
        <v>38463</v>
      </c>
      <c r="E18" s="11" t="s">
        <v>1538</v>
      </c>
      <c r="F18" s="11" t="s">
        <v>160</v>
      </c>
      <c r="G18" s="11" t="s">
        <v>2201</v>
      </c>
      <c r="H18" s="11" t="s">
        <v>2201</v>
      </c>
      <c r="I18" s="11" t="n">
        <v>1480224</v>
      </c>
      <c r="J18" s="11" t="n">
        <v>7400</v>
      </c>
      <c r="K18" s="11" t="n">
        <v>380</v>
      </c>
      <c r="L18" s="11" t="s">
        <v>22</v>
      </c>
      <c r="M18" s="11"/>
      <c r="N18" s="11" t="s">
        <v>2119</v>
      </c>
      <c r="O18" s="24" t="n">
        <v>45840</v>
      </c>
      <c r="P18" s="25" t="n">
        <f aca="false">INT((O18-D18)/365.25)</f>
        <v>20</v>
      </c>
      <c r="Q18" s="12" t="s">
        <v>22</v>
      </c>
      <c r="R18" s="12" t="s">
        <v>2169</v>
      </c>
    </row>
    <row r="19" customFormat="false" ht="15" hidden="false" customHeight="false" outlineLevel="0" collapsed="false">
      <c r="A19" s="51" t="n">
        <v>15</v>
      </c>
      <c r="B19" s="11" t="n">
        <v>867194</v>
      </c>
      <c r="C19" s="12" t="s">
        <v>2202</v>
      </c>
      <c r="D19" s="12" t="n">
        <v>39038</v>
      </c>
      <c r="E19" s="11" t="s">
        <v>1538</v>
      </c>
      <c r="F19" s="11" t="s">
        <v>160</v>
      </c>
      <c r="G19" s="11" t="s">
        <v>2203</v>
      </c>
      <c r="H19" s="11" t="s">
        <v>2203</v>
      </c>
      <c r="I19" s="11" t="n">
        <v>1700219</v>
      </c>
      <c r="J19" s="11" t="n">
        <v>1462</v>
      </c>
      <c r="K19" s="11" t="n">
        <v>380</v>
      </c>
      <c r="L19" s="11" t="s">
        <v>22</v>
      </c>
      <c r="M19" s="11"/>
      <c r="N19" s="11" t="s">
        <v>2119</v>
      </c>
      <c r="O19" s="24" t="n">
        <v>45840</v>
      </c>
      <c r="P19" s="25" t="n">
        <f aca="false">INT((O19-D19)/365.25)</f>
        <v>18</v>
      </c>
      <c r="Q19" s="12" t="s">
        <v>22</v>
      </c>
      <c r="R19" s="12" t="s">
        <v>1483</v>
      </c>
    </row>
    <row r="20" customFormat="false" ht="15" hidden="false" customHeight="false" outlineLevel="0" collapsed="false">
      <c r="A20" s="51" t="n">
        <v>16</v>
      </c>
      <c r="B20" s="11" t="n">
        <v>872205</v>
      </c>
      <c r="C20" s="12" t="s">
        <v>2204</v>
      </c>
      <c r="D20" s="12" t="n">
        <v>30533</v>
      </c>
      <c r="E20" s="11" t="s">
        <v>1538</v>
      </c>
      <c r="F20" s="11" t="s">
        <v>160</v>
      </c>
      <c r="G20" s="11" t="s">
        <v>2205</v>
      </c>
      <c r="H20" s="11" t="s">
        <v>2205</v>
      </c>
      <c r="I20" s="11" t="s">
        <v>2206</v>
      </c>
      <c r="J20" s="11" t="n">
        <v>7442</v>
      </c>
      <c r="K20" s="11" t="n">
        <v>33</v>
      </c>
      <c r="L20" s="11" t="s">
        <v>22</v>
      </c>
      <c r="M20" s="11"/>
      <c r="N20" s="11" t="s">
        <v>2119</v>
      </c>
      <c r="O20" s="24" t="n">
        <v>45840</v>
      </c>
      <c r="P20" s="25" t="n">
        <f aca="false">INT((O20-D20)/365.25)</f>
        <v>41</v>
      </c>
      <c r="Q20" s="12" t="s">
        <v>22</v>
      </c>
      <c r="R20" s="12" t="s">
        <v>22</v>
      </c>
    </row>
    <row r="21" customFormat="false" ht="15" hidden="false" customHeight="false" outlineLevel="0" collapsed="false">
      <c r="A21" s="51" t="n">
        <v>17</v>
      </c>
      <c r="B21" s="11" t="n">
        <v>857170</v>
      </c>
      <c r="C21" s="12" t="s">
        <v>2207</v>
      </c>
      <c r="D21" s="12" t="n">
        <v>37881</v>
      </c>
      <c r="E21" s="11" t="s">
        <v>1538</v>
      </c>
      <c r="F21" s="11" t="s">
        <v>160</v>
      </c>
      <c r="G21" s="11" t="s">
        <v>2208</v>
      </c>
      <c r="H21" s="11" t="n">
        <v>45022529</v>
      </c>
      <c r="I21" s="11" t="n">
        <v>1605364</v>
      </c>
      <c r="J21" s="11" t="n">
        <v>5419</v>
      </c>
      <c r="K21" s="11" t="n">
        <v>260</v>
      </c>
      <c r="L21" s="11" t="s">
        <v>22</v>
      </c>
      <c r="M21" s="11"/>
      <c r="N21" s="11" t="s">
        <v>2119</v>
      </c>
      <c r="O21" s="24" t="n">
        <v>45840</v>
      </c>
      <c r="P21" s="25" t="n">
        <f aca="false">INT((O21-D21)/365.25)</f>
        <v>21</v>
      </c>
      <c r="Q21" s="12" t="s">
        <v>22</v>
      </c>
      <c r="R21" s="12" t="s">
        <v>2169</v>
      </c>
    </row>
    <row r="22" customFormat="false" ht="15" hidden="false" customHeight="false" outlineLevel="0" collapsed="false">
      <c r="A22" s="51" t="n">
        <v>18</v>
      </c>
      <c r="B22" s="11" t="n">
        <v>872220</v>
      </c>
      <c r="C22" s="12" t="s">
        <v>2209</v>
      </c>
      <c r="D22" s="12" t="n">
        <v>36517</v>
      </c>
      <c r="E22" s="11" t="s">
        <v>2180</v>
      </c>
      <c r="F22" s="11" t="s">
        <v>160</v>
      </c>
      <c r="G22" s="11" t="s">
        <v>2210</v>
      </c>
      <c r="H22" s="11" t="s">
        <v>2210</v>
      </c>
      <c r="I22" s="11" t="n">
        <v>7158058</v>
      </c>
      <c r="J22" s="11" t="n">
        <v>9480</v>
      </c>
      <c r="K22" s="11" t="n">
        <v>323</v>
      </c>
      <c r="L22" s="11" t="s">
        <v>22</v>
      </c>
      <c r="M22" s="11"/>
      <c r="N22" s="11" t="s">
        <v>2119</v>
      </c>
      <c r="O22" s="24" t="n">
        <v>45840</v>
      </c>
      <c r="P22" s="25" t="n">
        <f aca="false">INT((O22-D22)/365.25)</f>
        <v>25</v>
      </c>
      <c r="Q22" s="12" t="s">
        <v>22</v>
      </c>
      <c r="R22" s="12" t="s">
        <v>22</v>
      </c>
    </row>
    <row r="23" customFormat="false" ht="15" hidden="false" customHeight="false" outlineLevel="0" collapsed="false">
      <c r="A23" s="51" t="n">
        <v>19</v>
      </c>
      <c r="B23" s="11" t="n">
        <v>872813</v>
      </c>
      <c r="C23" s="12" t="s">
        <v>2211</v>
      </c>
      <c r="D23" s="12" t="n">
        <v>34633</v>
      </c>
      <c r="E23" s="11" t="s">
        <v>2180</v>
      </c>
      <c r="F23" s="11" t="s">
        <v>160</v>
      </c>
      <c r="G23" s="11" t="s">
        <v>2212</v>
      </c>
      <c r="H23" s="11" t="s">
        <v>2212</v>
      </c>
      <c r="I23" s="11" t="s">
        <v>2213</v>
      </c>
      <c r="J23" s="11" t="s">
        <v>2214</v>
      </c>
      <c r="K23" s="11" t="n">
        <v>260</v>
      </c>
      <c r="L23" s="11" t="s">
        <v>22</v>
      </c>
      <c r="M23" s="11"/>
      <c r="N23" s="11" t="s">
        <v>2119</v>
      </c>
      <c r="O23" s="24" t="n">
        <v>45840</v>
      </c>
      <c r="P23" s="25" t="n">
        <f aca="false">INT((O23-D23)/365.25)</f>
        <v>30</v>
      </c>
      <c r="Q23" s="12" t="s">
        <v>22</v>
      </c>
      <c r="R23" s="12" t="s">
        <v>2169</v>
      </c>
    </row>
    <row r="24" customFormat="false" ht="15" hidden="false" customHeight="false" outlineLevel="0" collapsed="false">
      <c r="A24" s="51" t="n">
        <v>20</v>
      </c>
      <c r="B24" s="11" t="n">
        <v>871543</v>
      </c>
      <c r="C24" s="12" t="s">
        <v>2215</v>
      </c>
      <c r="D24" s="12" t="n">
        <v>36373</v>
      </c>
      <c r="E24" s="11" t="s">
        <v>2180</v>
      </c>
      <c r="F24" s="11" t="s">
        <v>160</v>
      </c>
      <c r="G24" s="11" t="s">
        <v>2216</v>
      </c>
      <c r="H24" s="11" t="s">
        <v>2217</v>
      </c>
      <c r="I24" s="11" t="n">
        <v>1463270</v>
      </c>
      <c r="J24" s="11" t="n">
        <v>1432</v>
      </c>
      <c r="K24" s="11" t="n">
        <v>260</v>
      </c>
      <c r="L24" s="11" t="s">
        <v>22</v>
      </c>
      <c r="M24" s="11"/>
      <c r="N24" s="11" t="s">
        <v>2119</v>
      </c>
      <c r="O24" s="24" t="n">
        <v>45840</v>
      </c>
      <c r="P24" s="25" t="n">
        <f aca="false">INT((O24-D24)/365.25)</f>
        <v>25</v>
      </c>
      <c r="Q24" s="12" t="s">
        <v>22</v>
      </c>
      <c r="R24" s="12" t="s">
        <v>2169</v>
      </c>
    </row>
    <row r="25" customFormat="false" ht="15" hidden="false" customHeight="false" outlineLevel="0" collapsed="false">
      <c r="A25" s="51" t="n">
        <v>21</v>
      </c>
      <c r="B25" s="11" t="n">
        <v>872964</v>
      </c>
      <c r="C25" s="64" t="s">
        <v>2218</v>
      </c>
      <c r="D25" s="12" t="n">
        <v>38176</v>
      </c>
      <c r="E25" s="11" t="s">
        <v>1538</v>
      </c>
      <c r="F25" s="11" t="s">
        <v>160</v>
      </c>
      <c r="G25" s="11" t="s">
        <v>2219</v>
      </c>
      <c r="H25" s="11" t="n">
        <v>45205124</v>
      </c>
      <c r="I25" s="11" t="n">
        <v>1529486</v>
      </c>
      <c r="J25" s="11" t="n">
        <v>3430</v>
      </c>
      <c r="K25" s="11"/>
      <c r="L25" s="11" t="s">
        <v>30</v>
      </c>
      <c r="M25" s="11"/>
      <c r="N25" s="11" t="s">
        <v>2119</v>
      </c>
      <c r="O25" s="24" t="n">
        <v>45840</v>
      </c>
      <c r="P25" s="25" t="n">
        <f aca="false">INT((O25-D25)/365.25)</f>
        <v>20</v>
      </c>
      <c r="Q25" s="12" t="s">
        <v>22</v>
      </c>
      <c r="R25" s="12"/>
    </row>
    <row r="26" customFormat="false" ht="15" hidden="false" customHeight="false" outlineLevel="0" collapsed="false">
      <c r="A26" s="51" t="n">
        <v>22</v>
      </c>
      <c r="B26" s="11" t="n">
        <v>861691</v>
      </c>
      <c r="C26" s="12" t="s">
        <v>2220</v>
      </c>
      <c r="D26" s="12" t="n">
        <v>35243</v>
      </c>
      <c r="E26" s="11" t="s">
        <v>2180</v>
      </c>
      <c r="F26" s="11" t="s">
        <v>160</v>
      </c>
      <c r="G26" s="11" t="s">
        <v>2221</v>
      </c>
      <c r="H26" s="11" t="s">
        <v>2221</v>
      </c>
      <c r="I26" s="11" t="n">
        <v>1206099</v>
      </c>
      <c r="J26" s="11" t="n">
        <v>3482</v>
      </c>
      <c r="K26" s="11" t="s">
        <v>2183</v>
      </c>
      <c r="L26" s="11" t="s">
        <v>30</v>
      </c>
      <c r="M26" s="11"/>
      <c r="N26" s="11" t="s">
        <v>2119</v>
      </c>
      <c r="O26" s="24" t="n">
        <v>45840</v>
      </c>
      <c r="P26" s="25" t="n">
        <f aca="false">INT((O26-D26)/365.25)</f>
        <v>29</v>
      </c>
      <c r="Q26" s="12" t="s">
        <v>22</v>
      </c>
      <c r="R26" s="12"/>
    </row>
    <row r="27" customFormat="false" ht="15" hidden="false" customHeight="false" outlineLevel="0" collapsed="false">
      <c r="A27" s="51" t="n">
        <v>23</v>
      </c>
      <c r="B27" s="11" t="n">
        <v>851616</v>
      </c>
      <c r="C27" s="12" t="s">
        <v>2222</v>
      </c>
      <c r="D27" s="12" t="n">
        <v>33217</v>
      </c>
      <c r="E27" s="11" t="s">
        <v>2180</v>
      </c>
      <c r="F27" s="11" t="s">
        <v>160</v>
      </c>
      <c r="G27" s="11" t="s">
        <v>2223</v>
      </c>
      <c r="H27" s="11" t="s">
        <v>2223</v>
      </c>
      <c r="I27" s="11" t="s">
        <v>2224</v>
      </c>
      <c r="J27" s="11" t="n">
        <v>2441</v>
      </c>
      <c r="K27" s="11" t="n">
        <v>341</v>
      </c>
      <c r="L27" s="11" t="s">
        <v>30</v>
      </c>
      <c r="M27" s="11"/>
      <c r="N27" s="11" t="s">
        <v>2119</v>
      </c>
      <c r="O27" s="24" t="n">
        <v>45840</v>
      </c>
      <c r="P27" s="25" t="n">
        <f aca="false">INT((O27-D27)/365.25)</f>
        <v>34</v>
      </c>
      <c r="Q27" s="12" t="s">
        <v>22</v>
      </c>
      <c r="R27" s="12"/>
    </row>
    <row r="28" customFormat="false" ht="15" hidden="false" customHeight="false" outlineLevel="0" collapsed="false">
      <c r="A28" s="51" t="n">
        <v>24</v>
      </c>
      <c r="B28" s="11" t="n">
        <v>855802</v>
      </c>
      <c r="C28" s="12" t="s">
        <v>2225</v>
      </c>
      <c r="D28" s="12" t="n">
        <v>33276</v>
      </c>
      <c r="E28" s="11" t="s">
        <v>2180</v>
      </c>
      <c r="F28" s="11" t="s">
        <v>160</v>
      </c>
      <c r="G28" s="11" t="s">
        <v>2226</v>
      </c>
      <c r="H28" s="11" t="s">
        <v>2227</v>
      </c>
      <c r="I28" s="11" t="n">
        <v>917420</v>
      </c>
      <c r="J28" s="11" t="n">
        <v>9426</v>
      </c>
      <c r="K28" s="11" t="s">
        <v>2183</v>
      </c>
      <c r="L28" s="11" t="s">
        <v>30</v>
      </c>
      <c r="M28" s="11"/>
      <c r="N28" s="11" t="s">
        <v>2119</v>
      </c>
      <c r="O28" s="24" t="n">
        <v>45840</v>
      </c>
      <c r="P28" s="25" t="n">
        <f aca="false">INT((O28-D28)/365.25)</f>
        <v>34</v>
      </c>
      <c r="Q28" s="12" t="s">
        <v>22</v>
      </c>
      <c r="R28" s="12" t="s">
        <v>2131</v>
      </c>
    </row>
    <row r="29" customFormat="false" ht="15" hidden="false" customHeight="false" outlineLevel="0" collapsed="false">
      <c r="A29" s="51" t="n">
        <v>25</v>
      </c>
      <c r="B29" s="11" t="n">
        <v>873076</v>
      </c>
      <c r="C29" s="64" t="s">
        <v>2228</v>
      </c>
      <c r="D29" s="12" t="n">
        <v>36499</v>
      </c>
      <c r="E29" s="11" t="s">
        <v>2180</v>
      </c>
      <c r="F29" s="11" t="s">
        <v>160</v>
      </c>
      <c r="G29" s="11" t="s">
        <v>2229</v>
      </c>
      <c r="H29" s="11" t="s">
        <v>2230</v>
      </c>
      <c r="I29" s="11" t="n">
        <v>1313168</v>
      </c>
      <c r="J29" s="11" t="n">
        <v>2421</v>
      </c>
      <c r="K29" s="11" t="n">
        <v>260</v>
      </c>
      <c r="L29" s="11" t="s">
        <v>22</v>
      </c>
      <c r="M29" s="11"/>
      <c r="N29" s="11" t="s">
        <v>2119</v>
      </c>
      <c r="O29" s="24" t="n">
        <v>45840</v>
      </c>
      <c r="P29" s="25" t="n">
        <f aca="false">INT((O29-D29)/365.25)</f>
        <v>25</v>
      </c>
      <c r="Q29" s="12" t="s">
        <v>22</v>
      </c>
      <c r="R29" s="12" t="s">
        <v>2169</v>
      </c>
    </row>
    <row r="30" customFormat="false" ht="15" hidden="false" customHeight="false" outlineLevel="0" collapsed="false">
      <c r="A30" s="51" t="n">
        <v>26</v>
      </c>
      <c r="B30" s="11" t="n">
        <v>872224</v>
      </c>
      <c r="C30" s="12" t="s">
        <v>2231</v>
      </c>
      <c r="D30" s="12" t="n">
        <v>39114</v>
      </c>
      <c r="E30" s="11" t="s">
        <v>2180</v>
      </c>
      <c r="F30" s="11" t="s">
        <v>160</v>
      </c>
      <c r="G30" s="11" t="s">
        <v>2232</v>
      </c>
      <c r="H30" s="11" t="s">
        <v>2232</v>
      </c>
      <c r="I30" s="11" t="n">
        <v>1277537</v>
      </c>
      <c r="J30" s="11" t="n">
        <v>8447</v>
      </c>
      <c r="K30" s="11" t="n">
        <v>77</v>
      </c>
      <c r="L30" s="11" t="s">
        <v>22</v>
      </c>
      <c r="M30" s="11"/>
      <c r="N30" s="11" t="s">
        <v>2119</v>
      </c>
      <c r="O30" s="24" t="n">
        <v>45840</v>
      </c>
      <c r="P30" s="25" t="n">
        <f aca="false">INT((O30-D30)/365.25)</f>
        <v>18</v>
      </c>
      <c r="Q30" s="12" t="s">
        <v>22</v>
      </c>
      <c r="R30" s="12" t="s">
        <v>2169</v>
      </c>
    </row>
    <row r="31" customFormat="false" ht="15" hidden="false" customHeight="false" outlineLevel="0" collapsed="false">
      <c r="A31" s="51" t="n">
        <v>27</v>
      </c>
      <c r="B31" s="11" t="n">
        <v>872932</v>
      </c>
      <c r="C31" s="12" t="s">
        <v>2233</v>
      </c>
      <c r="D31" s="12" t="n">
        <v>36883</v>
      </c>
      <c r="E31" s="11" t="s">
        <v>1538</v>
      </c>
      <c r="F31" s="11" t="s">
        <v>160</v>
      </c>
      <c r="G31" s="11" t="s">
        <v>2234</v>
      </c>
      <c r="H31" s="11" t="n">
        <v>2206194171</v>
      </c>
      <c r="I31" s="11" t="n">
        <v>8645362</v>
      </c>
      <c r="J31" s="11" t="n">
        <v>588</v>
      </c>
      <c r="K31" s="11"/>
      <c r="L31" s="11" t="s">
        <v>22</v>
      </c>
      <c r="M31" s="11"/>
      <c r="N31" s="11" t="s">
        <v>2119</v>
      </c>
      <c r="O31" s="24" t="n">
        <v>45840</v>
      </c>
      <c r="P31" s="25" t="n">
        <f aca="false">INT((O31-D31)/365.25)</f>
        <v>24</v>
      </c>
      <c r="Q31" s="12" t="s">
        <v>22</v>
      </c>
      <c r="R31" s="12" t="s">
        <v>2235</v>
      </c>
    </row>
    <row r="32" customFormat="false" ht="15" hidden="false" customHeight="false" outlineLevel="0" collapsed="false">
      <c r="A32" s="51" t="n">
        <v>28</v>
      </c>
      <c r="B32" s="11" t="n">
        <v>872227</v>
      </c>
      <c r="C32" s="12" t="s">
        <v>2236</v>
      </c>
      <c r="D32" s="12" t="n">
        <v>38505</v>
      </c>
      <c r="E32" s="11" t="s">
        <v>2180</v>
      </c>
      <c r="F32" s="11" t="s">
        <v>160</v>
      </c>
      <c r="G32" s="11" t="s">
        <v>2237</v>
      </c>
      <c r="H32" s="11" t="s">
        <v>2237</v>
      </c>
      <c r="I32" s="11" t="n">
        <v>1521614</v>
      </c>
      <c r="J32" s="11" t="s">
        <v>2238</v>
      </c>
      <c r="K32" s="11" t="s">
        <v>2183</v>
      </c>
      <c r="L32" s="11" t="s">
        <v>30</v>
      </c>
      <c r="M32" s="11"/>
      <c r="N32" s="11" t="s">
        <v>2119</v>
      </c>
      <c r="O32" s="24" t="n">
        <v>45840</v>
      </c>
      <c r="P32" s="25" t="n">
        <f aca="false">INT((O32-D32)/365.25)</f>
        <v>20</v>
      </c>
      <c r="Q32" s="12" t="s">
        <v>22</v>
      </c>
      <c r="R32" s="12"/>
    </row>
    <row r="33" customFormat="false" ht="15" hidden="false" customHeight="false" outlineLevel="0" collapsed="false">
      <c r="A33" s="51" t="n">
        <v>29</v>
      </c>
      <c r="B33" s="11" t="n">
        <v>861622</v>
      </c>
      <c r="C33" s="12" t="s">
        <v>2239</v>
      </c>
      <c r="D33" s="12" t="n">
        <v>32442</v>
      </c>
      <c r="E33" s="11" t="s">
        <v>2180</v>
      </c>
      <c r="F33" s="11" t="s">
        <v>160</v>
      </c>
      <c r="G33" s="11" t="s">
        <v>2240</v>
      </c>
      <c r="H33" s="11" t="s">
        <v>2240</v>
      </c>
      <c r="I33" s="11" t="s">
        <v>2241</v>
      </c>
      <c r="J33" s="11" t="n">
        <v>5400</v>
      </c>
      <c r="K33" s="11" t="n">
        <v>260</v>
      </c>
      <c r="L33" s="11" t="s">
        <v>22</v>
      </c>
      <c r="M33" s="11"/>
      <c r="N33" s="11" t="s">
        <v>2119</v>
      </c>
      <c r="O33" s="24" t="n">
        <v>45840</v>
      </c>
      <c r="P33" s="25" t="n">
        <f aca="false">INT((O33-D33)/365.25)</f>
        <v>36</v>
      </c>
      <c r="Q33" s="12" t="s">
        <v>22</v>
      </c>
      <c r="R33" s="12" t="s">
        <v>22</v>
      </c>
    </row>
    <row r="34" customFormat="false" ht="15" hidden="false" customHeight="false" outlineLevel="0" collapsed="false">
      <c r="A34" s="51" t="n">
        <v>30</v>
      </c>
      <c r="B34" s="11" t="n">
        <v>851642</v>
      </c>
      <c r="C34" s="12" t="s">
        <v>2242</v>
      </c>
      <c r="D34" s="12" t="n">
        <v>37395</v>
      </c>
      <c r="E34" s="11" t="s">
        <v>2180</v>
      </c>
      <c r="F34" s="11" t="s">
        <v>160</v>
      </c>
      <c r="G34" s="11" t="s">
        <v>2243</v>
      </c>
      <c r="H34" s="11" t="s">
        <v>2244</v>
      </c>
      <c r="I34" s="11" t="n">
        <v>1457199</v>
      </c>
      <c r="J34" s="11" t="n">
        <v>1495</v>
      </c>
      <c r="K34" s="11" t="s">
        <v>2183</v>
      </c>
      <c r="L34" s="11" t="s">
        <v>30</v>
      </c>
      <c r="M34" s="11"/>
      <c r="N34" s="11" t="s">
        <v>2119</v>
      </c>
      <c r="O34" s="24" t="n">
        <v>45840</v>
      </c>
      <c r="P34" s="25" t="n">
        <f aca="false">INT((O34-D34)/365.25)</f>
        <v>23</v>
      </c>
      <c r="Q34" s="12" t="s">
        <v>22</v>
      </c>
      <c r="R34" s="12" t="s">
        <v>2245</v>
      </c>
    </row>
    <row r="35" customFormat="false" ht="15" hidden="false" customHeight="false" outlineLevel="0" collapsed="false">
      <c r="A35" s="51" t="n">
        <v>31</v>
      </c>
      <c r="B35" s="11" t="n">
        <v>861626</v>
      </c>
      <c r="C35" s="12" t="s">
        <v>2246</v>
      </c>
      <c r="D35" s="12" t="n">
        <v>37176</v>
      </c>
      <c r="E35" s="11" t="s">
        <v>2180</v>
      </c>
      <c r="F35" s="11" t="s">
        <v>160</v>
      </c>
      <c r="G35" s="11" t="s">
        <v>2247</v>
      </c>
      <c r="H35" s="11" t="s">
        <v>2247</v>
      </c>
      <c r="I35" s="11" t="n">
        <v>1510185</v>
      </c>
      <c r="J35" s="11" t="n">
        <v>8447</v>
      </c>
      <c r="K35" s="11" t="n">
        <v>260</v>
      </c>
      <c r="L35" s="11" t="s">
        <v>22</v>
      </c>
      <c r="M35" s="11"/>
      <c r="N35" s="11" t="s">
        <v>2119</v>
      </c>
      <c r="O35" s="24" t="n">
        <v>45840</v>
      </c>
      <c r="P35" s="25" t="n">
        <f aca="false">INT((O35-D35)/365.25)</f>
        <v>23</v>
      </c>
      <c r="Q35" s="12" t="s">
        <v>22</v>
      </c>
      <c r="R35" s="12" t="s">
        <v>22</v>
      </c>
    </row>
    <row r="36" customFormat="false" ht="15" hidden="false" customHeight="false" outlineLevel="0" collapsed="false">
      <c r="A36" s="51" t="n">
        <v>32</v>
      </c>
      <c r="B36" s="11" t="n">
        <v>872861</v>
      </c>
      <c r="C36" s="12" t="s">
        <v>2248</v>
      </c>
      <c r="D36" s="12" t="n">
        <v>36788</v>
      </c>
      <c r="E36" s="11" t="s">
        <v>1538</v>
      </c>
      <c r="F36" s="11" t="s">
        <v>160</v>
      </c>
      <c r="G36" s="11" t="s">
        <v>2249</v>
      </c>
      <c r="H36" s="11" t="s">
        <v>2250</v>
      </c>
      <c r="I36" s="11" t="n">
        <v>5162393</v>
      </c>
      <c r="J36" s="11" t="n">
        <v>60</v>
      </c>
      <c r="K36" s="11"/>
      <c r="L36" s="11" t="s">
        <v>22</v>
      </c>
      <c r="M36" s="11"/>
      <c r="N36" s="11" t="s">
        <v>2119</v>
      </c>
      <c r="O36" s="24" t="n">
        <v>45840</v>
      </c>
      <c r="P36" s="25" t="n">
        <f aca="false">INT((O36-D36)/365.25)</f>
        <v>24</v>
      </c>
      <c r="Q36" s="12" t="s">
        <v>22</v>
      </c>
      <c r="R36" s="12" t="s">
        <v>22</v>
      </c>
    </row>
    <row r="37" customFormat="false" ht="15" hidden="false" customHeight="false" outlineLevel="0" collapsed="false">
      <c r="A37" s="51" t="n">
        <v>33</v>
      </c>
      <c r="B37" s="11" t="n">
        <v>872534</v>
      </c>
      <c r="C37" s="12" t="s">
        <v>2251</v>
      </c>
      <c r="D37" s="12" t="n">
        <v>37495</v>
      </c>
      <c r="E37" s="11" t="s">
        <v>2180</v>
      </c>
      <c r="F37" s="11" t="s">
        <v>160</v>
      </c>
      <c r="G37" s="11" t="s">
        <v>2252</v>
      </c>
      <c r="H37" s="11" t="s">
        <v>2252</v>
      </c>
      <c r="I37" s="11" t="n">
        <v>1381857</v>
      </c>
      <c r="J37" s="11" t="n">
        <v>7447</v>
      </c>
      <c r="K37" s="11" t="n">
        <v>237</v>
      </c>
      <c r="L37" s="11" t="s">
        <v>22</v>
      </c>
      <c r="M37" s="11"/>
      <c r="N37" s="11" t="s">
        <v>2119</v>
      </c>
      <c r="O37" s="24" t="n">
        <v>45840</v>
      </c>
      <c r="P37" s="25" t="n">
        <f aca="false">INT((O37-D37)/365.25)</f>
        <v>22</v>
      </c>
      <c r="Q37" s="12" t="s">
        <v>22</v>
      </c>
      <c r="R37" s="12" t="s">
        <v>1509</v>
      </c>
    </row>
    <row r="38" customFormat="false" ht="15" hidden="false" customHeight="false" outlineLevel="0" collapsed="false">
      <c r="A38" s="51" t="n">
        <v>34</v>
      </c>
      <c r="B38" s="11" t="n">
        <v>872814</v>
      </c>
      <c r="C38" s="12" t="s">
        <v>2253</v>
      </c>
      <c r="D38" s="12" t="n">
        <v>35393</v>
      </c>
      <c r="E38" s="11" t="s">
        <v>2180</v>
      </c>
      <c r="F38" s="11" t="s">
        <v>160</v>
      </c>
      <c r="G38" s="11" t="s">
        <v>2254</v>
      </c>
      <c r="H38" s="11" t="s">
        <v>2255</v>
      </c>
      <c r="I38" s="11" t="n">
        <v>1158110</v>
      </c>
      <c r="J38" s="11" t="n">
        <v>3409</v>
      </c>
      <c r="K38" s="11" t="n">
        <v>380</v>
      </c>
      <c r="L38" s="11" t="s">
        <v>22</v>
      </c>
      <c r="M38" s="11"/>
      <c r="N38" s="11" t="s">
        <v>2119</v>
      </c>
      <c r="O38" s="24" t="n">
        <v>45840</v>
      </c>
      <c r="P38" s="25" t="n">
        <f aca="false">INT((O38-D38)/365.25)</f>
        <v>28</v>
      </c>
      <c r="Q38" s="12" t="s">
        <v>22</v>
      </c>
      <c r="R38" s="12" t="s">
        <v>1483</v>
      </c>
    </row>
    <row r="39" customFormat="false" ht="15" hidden="false" customHeight="false" outlineLevel="0" collapsed="false">
      <c r="A39" s="51" t="n">
        <v>35</v>
      </c>
      <c r="B39" s="11" t="n">
        <v>851562</v>
      </c>
      <c r="C39" s="12" t="s">
        <v>2256</v>
      </c>
      <c r="D39" s="12" t="n">
        <v>36066</v>
      </c>
      <c r="E39" s="11" t="s">
        <v>1538</v>
      </c>
      <c r="F39" s="11" t="s">
        <v>160</v>
      </c>
      <c r="G39" s="11" t="s">
        <v>2257</v>
      </c>
      <c r="H39" s="11" t="s">
        <v>2258</v>
      </c>
      <c r="I39" s="11" t="n">
        <v>1378104</v>
      </c>
      <c r="J39" s="11" t="n">
        <v>6419</v>
      </c>
      <c r="K39" s="11"/>
      <c r="L39" s="11" t="s">
        <v>22</v>
      </c>
      <c r="M39" s="11"/>
      <c r="N39" s="11" t="s">
        <v>2119</v>
      </c>
      <c r="O39" s="24" t="n">
        <v>45840</v>
      </c>
      <c r="P39" s="25" t="n">
        <f aca="false">INT((O39-D39)/365.25)</f>
        <v>26</v>
      </c>
      <c r="Q39" s="12" t="s">
        <v>22</v>
      </c>
      <c r="R39" s="12" t="s">
        <v>1483</v>
      </c>
    </row>
    <row r="40" customFormat="false" ht="15" hidden="false" customHeight="false" outlineLevel="0" collapsed="false">
      <c r="C40" s="65"/>
    </row>
  </sheetData>
  <autoFilter ref="L1:L40"/>
  <mergeCells count="1">
    <mergeCell ref="A1:R2"/>
  </mergeCells>
  <conditionalFormatting sqref="P5:P39">
    <cfRule type="colorScale" priority="2">
      <colorScale>
        <cfvo type="num" val="17"/>
        <cfvo type="num" val="18"/>
        <color rgb="FFFF0000"/>
        <color rgb="FF92D050"/>
      </colorScale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54"/>
  <sheetViews>
    <sheetView showFormulas="false" showGridLines="true" showRowColHeaders="true" showZeros="true" rightToLeft="false" tabSelected="false" showOutlineSymbols="true" defaultGridColor="true" view="normal" topLeftCell="A16" colorId="64" zoomScale="90" zoomScaleNormal="90" zoomScalePageLayoutView="100" workbookViewId="0">
      <selection pane="topLeft" activeCell="C26" activeCellId="0" sqref="C26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8.29"/>
    <col collapsed="false" customWidth="true" hidden="false" outlineLevel="0" max="3" min="3" style="0" width="31.72"/>
    <col collapsed="false" customWidth="true" hidden="false" outlineLevel="0" max="4" min="4" style="0" width="9"/>
    <col collapsed="false" customWidth="true" hidden="false" outlineLevel="0" max="5" min="5" style="0" width="16.43"/>
    <col collapsed="false" customWidth="true" hidden="false" outlineLevel="0" max="6" min="6" style="0" width="6.43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8.29"/>
    <col collapsed="false" customWidth="true" hidden="false" outlineLevel="0" max="10" min="10" style="0" width="4.86"/>
    <col collapsed="false" customWidth="true" hidden="true" outlineLevel="0" max="12" min="11" style="0" width="6.14"/>
    <col collapsed="false" customWidth="true" hidden="false" outlineLevel="0" max="13" min="13" style="0" width="17.29"/>
    <col collapsed="false" customWidth="true" hidden="false" outlineLevel="0" max="14" min="14" style="0" width="9.29"/>
    <col collapsed="false" customWidth="true" hidden="false" outlineLevel="0" max="15" min="15" style="0" width="5.71"/>
    <col collapsed="false" customWidth="true" hidden="false" outlineLevel="0" max="16" min="16" style="0" width="7"/>
    <col collapsed="false" customWidth="true" hidden="true" outlineLevel="0" max="17" min="17" style="0" width="12.86"/>
  </cols>
  <sheetData>
    <row r="1" customFormat="false" ht="15" hidden="false" customHeight="false" outlineLevel="0" collapsed="false">
      <c r="A1" s="54" t="s">
        <v>2018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</row>
    <row r="2" customFormat="false" ht="15" hidden="false" customHeight="false" outlineLevel="0" collapsed="false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</row>
    <row r="3" customFormat="false" ht="15" hidden="false" customHeight="false" outlineLevel="0" collapsed="false">
      <c r="A3" s="43"/>
      <c r="B3" s="44" t="s">
        <v>1</v>
      </c>
      <c r="C3" s="44" t="s">
        <v>2</v>
      </c>
      <c r="D3" s="44" t="s">
        <v>3</v>
      </c>
      <c r="E3" s="44" t="s">
        <v>4</v>
      </c>
      <c r="F3" s="44" t="s">
        <v>5</v>
      </c>
      <c r="G3" s="45" t="s">
        <v>6</v>
      </c>
      <c r="H3" s="44" t="s">
        <v>7</v>
      </c>
      <c r="I3" s="44" t="s">
        <v>8</v>
      </c>
      <c r="J3" s="44" t="s">
        <v>9</v>
      </c>
      <c r="K3" s="44" t="s">
        <v>1483</v>
      </c>
      <c r="L3" s="44" t="s">
        <v>10</v>
      </c>
      <c r="M3" s="44" t="s">
        <v>11</v>
      </c>
      <c r="N3" s="44" t="s">
        <v>12</v>
      </c>
      <c r="O3" s="44" t="s">
        <v>13</v>
      </c>
      <c r="P3" s="44" t="s">
        <v>16</v>
      </c>
      <c r="Q3" s="44" t="s">
        <v>2110</v>
      </c>
    </row>
    <row r="4" customFormat="false" ht="15" hidden="false" customHeight="false" outlineLevel="0" collapsed="false">
      <c r="A4" s="46"/>
      <c r="B4" s="47"/>
      <c r="C4" s="44" t="s">
        <v>2165</v>
      </c>
      <c r="D4" s="48"/>
      <c r="E4" s="47"/>
      <c r="F4" s="47"/>
      <c r="G4" s="47"/>
      <c r="H4" s="47"/>
      <c r="I4" s="47"/>
      <c r="J4" s="47"/>
      <c r="K4" s="47"/>
      <c r="L4" s="47"/>
      <c r="M4" s="49"/>
      <c r="N4" s="50"/>
      <c r="O4" s="44"/>
      <c r="P4" s="44"/>
      <c r="Q4" s="44"/>
    </row>
    <row r="5" customFormat="false" ht="15" hidden="false" customHeight="false" outlineLevel="0" collapsed="false">
      <c r="A5" s="51" t="n">
        <v>1</v>
      </c>
      <c r="B5" s="11" t="n">
        <v>872867</v>
      </c>
      <c r="C5" s="12" t="s">
        <v>2166</v>
      </c>
      <c r="D5" s="12" t="n">
        <v>38680</v>
      </c>
      <c r="E5" s="11" t="s">
        <v>1538</v>
      </c>
      <c r="F5" s="11" t="s">
        <v>160</v>
      </c>
      <c r="G5" s="11" t="s">
        <v>2167</v>
      </c>
      <c r="H5" s="11" t="s">
        <v>2168</v>
      </c>
      <c r="I5" s="11" t="n">
        <v>1220317</v>
      </c>
      <c r="J5" s="11" t="n">
        <v>7489</v>
      </c>
      <c r="K5" s="11"/>
      <c r="L5" s="11" t="s">
        <v>22</v>
      </c>
      <c r="M5" s="11" t="s">
        <v>2119</v>
      </c>
      <c r="N5" s="24" t="n">
        <v>45840</v>
      </c>
      <c r="O5" s="25" t="n">
        <f aca="false">INT((N5-D5)/365.25)</f>
        <v>19</v>
      </c>
      <c r="P5" s="12" t="s">
        <v>22</v>
      </c>
      <c r="Q5" s="12" t="s">
        <v>2169</v>
      </c>
    </row>
    <row r="6" customFormat="false" ht="15" hidden="false" customHeight="false" outlineLevel="0" collapsed="false">
      <c r="A6" s="51" t="n">
        <v>2</v>
      </c>
      <c r="B6" s="11" t="n">
        <v>872811</v>
      </c>
      <c r="C6" s="12" t="s">
        <v>2170</v>
      </c>
      <c r="D6" s="12" t="n">
        <v>37682</v>
      </c>
      <c r="E6" s="11" t="s">
        <v>1538</v>
      </c>
      <c r="F6" s="11" t="s">
        <v>160</v>
      </c>
      <c r="G6" s="11" t="s">
        <v>2171</v>
      </c>
      <c r="H6" s="11" t="s">
        <v>2171</v>
      </c>
      <c r="I6" s="11" t="n">
        <v>1458522</v>
      </c>
      <c r="J6" s="11" t="n">
        <v>2456</v>
      </c>
      <c r="K6" s="11" t="n">
        <v>380</v>
      </c>
      <c r="L6" s="11" t="s">
        <v>22</v>
      </c>
      <c r="M6" s="11" t="s">
        <v>2119</v>
      </c>
      <c r="N6" s="24" t="n">
        <v>45840</v>
      </c>
      <c r="O6" s="25" t="n">
        <f aca="false">INT((N6-D6)/365.25)</f>
        <v>22</v>
      </c>
      <c r="P6" s="12" t="s">
        <v>22</v>
      </c>
      <c r="Q6" s="12" t="s">
        <v>2169</v>
      </c>
    </row>
    <row r="7" customFormat="false" ht="15" hidden="false" customHeight="false" outlineLevel="0" collapsed="false">
      <c r="A7" s="51" t="n">
        <v>3</v>
      </c>
      <c r="B7" s="11" t="n">
        <v>872177</v>
      </c>
      <c r="C7" s="12" t="s">
        <v>2172</v>
      </c>
      <c r="D7" s="12" t="n">
        <v>37626</v>
      </c>
      <c r="E7" s="11" t="s">
        <v>1538</v>
      </c>
      <c r="F7" s="11" t="s">
        <v>160</v>
      </c>
      <c r="G7" s="11" t="s">
        <v>2173</v>
      </c>
      <c r="H7" s="11" t="s">
        <v>2173</v>
      </c>
      <c r="I7" s="11" t="n">
        <v>1512302</v>
      </c>
      <c r="J7" s="11" t="n">
        <v>4492</v>
      </c>
      <c r="K7" s="11" t="n">
        <v>260</v>
      </c>
      <c r="L7" s="11" t="s">
        <v>22</v>
      </c>
      <c r="M7" s="11" t="s">
        <v>2119</v>
      </c>
      <c r="N7" s="24" t="n">
        <v>45840</v>
      </c>
      <c r="O7" s="25" t="n">
        <f aca="false">INT((N7-D7)/365.25)</f>
        <v>22</v>
      </c>
      <c r="P7" s="12" t="s">
        <v>22</v>
      </c>
      <c r="Q7" s="12" t="s">
        <v>2169</v>
      </c>
    </row>
    <row r="8" customFormat="false" ht="15" hidden="false" customHeight="false" outlineLevel="0" collapsed="false">
      <c r="A8" s="51" t="n">
        <v>4</v>
      </c>
      <c r="B8" s="11" t="n">
        <v>851604</v>
      </c>
      <c r="C8" s="12" t="s">
        <v>2174</v>
      </c>
      <c r="D8" s="12" t="n">
        <v>37607</v>
      </c>
      <c r="E8" s="11" t="s">
        <v>1538</v>
      </c>
      <c r="F8" s="11" t="s">
        <v>160</v>
      </c>
      <c r="G8" s="11" t="s">
        <v>2175</v>
      </c>
      <c r="H8" s="11" t="n">
        <v>45110339</v>
      </c>
      <c r="I8" s="11" t="n">
        <v>770574</v>
      </c>
      <c r="J8" s="11" t="n">
        <v>4406</v>
      </c>
      <c r="K8" s="11"/>
      <c r="L8" s="11" t="s">
        <v>30</v>
      </c>
      <c r="M8" s="11" t="s">
        <v>2119</v>
      </c>
      <c r="N8" s="24" t="n">
        <v>45840</v>
      </c>
      <c r="O8" s="25" t="n">
        <f aca="false">INT((N8-D8)/365.25)</f>
        <v>22</v>
      </c>
      <c r="P8" s="12"/>
      <c r="Q8" s="12"/>
    </row>
    <row r="9" customFormat="false" ht="15" hidden="false" customHeight="false" outlineLevel="0" collapsed="false">
      <c r="A9" s="51" t="n">
        <v>5</v>
      </c>
      <c r="B9" s="11" t="n">
        <v>872863</v>
      </c>
      <c r="C9" s="12" t="s">
        <v>2176</v>
      </c>
      <c r="D9" s="12" t="n">
        <v>36545</v>
      </c>
      <c r="E9" s="11" t="s">
        <v>1538</v>
      </c>
      <c r="F9" s="11" t="s">
        <v>160</v>
      </c>
      <c r="G9" s="11" t="s">
        <v>2177</v>
      </c>
      <c r="H9" s="11" t="s">
        <v>2178</v>
      </c>
      <c r="I9" s="11" t="n">
        <v>5162392</v>
      </c>
      <c r="J9" s="11" t="n">
        <v>60</v>
      </c>
      <c r="K9" s="11"/>
      <c r="L9" s="11" t="s">
        <v>22</v>
      </c>
      <c r="M9" s="11" t="s">
        <v>2119</v>
      </c>
      <c r="N9" s="24" t="n">
        <v>45840</v>
      </c>
      <c r="O9" s="25" t="n">
        <f aca="false">INT((N9-D9)/365.25)</f>
        <v>25</v>
      </c>
      <c r="P9" s="12" t="s">
        <v>22</v>
      </c>
      <c r="Q9" s="12" t="s">
        <v>22</v>
      </c>
    </row>
    <row r="10" customFormat="false" ht="15" hidden="false" customHeight="false" outlineLevel="0" collapsed="false">
      <c r="A10" s="51" t="n">
        <v>6</v>
      </c>
      <c r="B10" s="11" t="n">
        <v>871541</v>
      </c>
      <c r="C10" s="12" t="s">
        <v>2179</v>
      </c>
      <c r="D10" s="12" t="n">
        <v>37133</v>
      </c>
      <c r="E10" s="11" t="s">
        <v>2180</v>
      </c>
      <c r="F10" s="11" t="s">
        <v>160</v>
      </c>
      <c r="G10" s="11" t="s">
        <v>2181</v>
      </c>
      <c r="H10" s="11" t="s">
        <v>2182</v>
      </c>
      <c r="I10" s="11" t="n">
        <v>1461179</v>
      </c>
      <c r="J10" s="11" t="n">
        <v>410</v>
      </c>
      <c r="K10" s="11" t="s">
        <v>2183</v>
      </c>
      <c r="L10" s="11" t="s">
        <v>22</v>
      </c>
      <c r="M10" s="11" t="s">
        <v>2119</v>
      </c>
      <c r="N10" s="24" t="n">
        <v>45840</v>
      </c>
      <c r="O10" s="25" t="n">
        <f aca="false">INT((N10-D10)/365.25)</f>
        <v>23</v>
      </c>
      <c r="P10" s="12" t="s">
        <v>22</v>
      </c>
      <c r="Q10" s="12" t="s">
        <v>22</v>
      </c>
    </row>
    <row r="11" customFormat="false" ht="14.25" hidden="false" customHeight="true" outlineLevel="0" collapsed="false">
      <c r="A11" s="51" t="n">
        <v>7</v>
      </c>
      <c r="B11" s="53" t="n">
        <v>855753</v>
      </c>
      <c r="C11" s="26" t="s">
        <v>2184</v>
      </c>
      <c r="D11" s="12" t="n">
        <v>34381</v>
      </c>
      <c r="E11" s="11" t="s">
        <v>1538</v>
      </c>
      <c r="F11" s="11" t="s">
        <v>160</v>
      </c>
      <c r="G11" s="11" t="s">
        <v>2185</v>
      </c>
      <c r="H11" s="11" t="s">
        <v>2185</v>
      </c>
      <c r="I11" s="11" t="n">
        <v>1087478</v>
      </c>
      <c r="J11" s="11" t="n">
        <v>6428</v>
      </c>
      <c r="K11" s="11" t="n">
        <v>237</v>
      </c>
      <c r="L11" s="11" t="s">
        <v>22</v>
      </c>
      <c r="M11" s="11" t="s">
        <v>2119</v>
      </c>
      <c r="N11" s="24" t="n">
        <v>45840</v>
      </c>
      <c r="O11" s="25" t="n">
        <f aca="false">INT((N11-D11)/365.25)</f>
        <v>31</v>
      </c>
      <c r="P11" s="12" t="s">
        <v>22</v>
      </c>
      <c r="Q11" s="12" t="s">
        <v>22</v>
      </c>
    </row>
    <row r="12" customFormat="false" ht="15" hidden="false" customHeight="false" outlineLevel="0" collapsed="false">
      <c r="A12" s="51" t="n">
        <v>8</v>
      </c>
      <c r="B12" s="11" t="n">
        <v>872179</v>
      </c>
      <c r="C12" s="12" t="s">
        <v>2259</v>
      </c>
      <c r="D12" s="12" t="n">
        <v>36517</v>
      </c>
      <c r="E12" s="11" t="s">
        <v>1538</v>
      </c>
      <c r="F12" s="11" t="s">
        <v>160</v>
      </c>
      <c r="G12" s="11" t="s">
        <v>2260</v>
      </c>
      <c r="H12" s="11" t="s">
        <v>2260</v>
      </c>
      <c r="I12" s="11" t="n">
        <v>9001627</v>
      </c>
      <c r="J12" s="11" t="n">
        <v>4806</v>
      </c>
      <c r="K12" s="11" t="n">
        <v>341</v>
      </c>
      <c r="L12" s="11" t="s">
        <v>22</v>
      </c>
      <c r="M12" s="11" t="s">
        <v>2119</v>
      </c>
      <c r="N12" s="24" t="n">
        <v>45840</v>
      </c>
      <c r="O12" s="25" t="n">
        <f aca="false">INT((N12-D12)/365.25)</f>
        <v>25</v>
      </c>
      <c r="P12" s="12" t="s">
        <v>22</v>
      </c>
      <c r="Q12" s="12" t="s">
        <v>2169</v>
      </c>
    </row>
    <row r="13" customFormat="false" ht="15" hidden="false" customHeight="false" outlineLevel="0" collapsed="false">
      <c r="A13" s="51" t="n">
        <v>9</v>
      </c>
      <c r="B13" s="11" t="n">
        <v>851634</v>
      </c>
      <c r="C13" s="12" t="s">
        <v>2186</v>
      </c>
      <c r="D13" s="12" t="n">
        <v>36626</v>
      </c>
      <c r="E13" s="11" t="s">
        <v>1538</v>
      </c>
      <c r="F13" s="11" t="s">
        <v>160</v>
      </c>
      <c r="G13" s="11" t="s">
        <v>2187</v>
      </c>
      <c r="H13" s="11" t="s">
        <v>2187</v>
      </c>
      <c r="I13" s="11" t="n">
        <v>1375115</v>
      </c>
      <c r="J13" s="11" t="n">
        <v>2431</v>
      </c>
      <c r="K13" s="11" t="n">
        <v>380</v>
      </c>
      <c r="L13" s="11" t="s">
        <v>22</v>
      </c>
      <c r="M13" s="11" t="s">
        <v>2119</v>
      </c>
      <c r="N13" s="24" t="n">
        <v>45840</v>
      </c>
      <c r="O13" s="25" t="n">
        <f aca="false">INT((N13-D13)/365.25)</f>
        <v>25</v>
      </c>
      <c r="P13" s="12" t="s">
        <v>22</v>
      </c>
      <c r="Q13" s="12" t="s">
        <v>2169</v>
      </c>
    </row>
    <row r="14" customFormat="false" ht="15" hidden="false" customHeight="false" outlineLevel="0" collapsed="false">
      <c r="A14" s="51" t="n">
        <v>10</v>
      </c>
      <c r="B14" s="11" t="n">
        <v>872181</v>
      </c>
      <c r="C14" s="12" t="s">
        <v>2261</v>
      </c>
      <c r="D14" s="12" t="n">
        <v>38697</v>
      </c>
      <c r="E14" s="11" t="s">
        <v>1538</v>
      </c>
      <c r="F14" s="11" t="s">
        <v>160</v>
      </c>
      <c r="G14" s="11" t="s">
        <v>2262</v>
      </c>
      <c r="H14" s="11" t="s">
        <v>2262</v>
      </c>
      <c r="I14" s="11" t="n">
        <v>1603072</v>
      </c>
      <c r="J14" s="11" t="n">
        <v>8458</v>
      </c>
      <c r="K14" s="11" t="n">
        <v>260</v>
      </c>
      <c r="L14" s="11" t="s">
        <v>22</v>
      </c>
      <c r="M14" s="11" t="s">
        <v>2119</v>
      </c>
      <c r="N14" s="24" t="n">
        <v>45840</v>
      </c>
      <c r="O14" s="25" t="n">
        <f aca="false">INT((N14-D14)/365.25)</f>
        <v>19</v>
      </c>
      <c r="P14" s="12" t="s">
        <v>22</v>
      </c>
      <c r="Q14" s="12" t="s">
        <v>2169</v>
      </c>
    </row>
    <row r="15" customFormat="false" ht="15" hidden="false" customHeight="false" outlineLevel="0" collapsed="false">
      <c r="A15" s="51" t="n">
        <v>11</v>
      </c>
      <c r="B15" s="11" t="n">
        <v>861618</v>
      </c>
      <c r="C15" s="12" t="s">
        <v>2263</v>
      </c>
      <c r="D15" s="12" t="n">
        <v>34827</v>
      </c>
      <c r="E15" s="11" t="s">
        <v>1538</v>
      </c>
      <c r="F15" s="11" t="s">
        <v>160</v>
      </c>
      <c r="G15" s="11" t="s">
        <v>2264</v>
      </c>
      <c r="H15" s="11" t="s">
        <v>2264</v>
      </c>
      <c r="I15" s="11" t="n">
        <v>1185752</v>
      </c>
      <c r="J15" s="11" t="n">
        <v>5442</v>
      </c>
      <c r="K15" s="11" t="n">
        <v>260</v>
      </c>
      <c r="L15" s="11" t="s">
        <v>22</v>
      </c>
      <c r="M15" s="11" t="s">
        <v>2119</v>
      </c>
      <c r="N15" s="24" t="n">
        <v>45840</v>
      </c>
      <c r="O15" s="25" t="n">
        <f aca="false">INT((N15-D15)/365.25)</f>
        <v>30</v>
      </c>
      <c r="P15" s="12" t="s">
        <v>22</v>
      </c>
      <c r="Q15" s="12" t="s">
        <v>22</v>
      </c>
    </row>
    <row r="16" customFormat="false" ht="15" hidden="false" customHeight="false" outlineLevel="0" collapsed="false">
      <c r="A16" s="51" t="n">
        <v>12</v>
      </c>
      <c r="B16" s="11" t="n">
        <v>872201</v>
      </c>
      <c r="C16" s="12" t="s">
        <v>2188</v>
      </c>
      <c r="D16" s="12" t="n">
        <v>38237</v>
      </c>
      <c r="E16" s="11" t="s">
        <v>1538</v>
      </c>
      <c r="F16" s="11" t="s">
        <v>160</v>
      </c>
      <c r="G16" s="11" t="s">
        <v>2189</v>
      </c>
      <c r="H16" s="11" t="s">
        <v>2189</v>
      </c>
      <c r="I16" s="11" t="s">
        <v>2190</v>
      </c>
      <c r="J16" s="11" t="n">
        <v>4418</v>
      </c>
      <c r="K16" s="11" t="n">
        <v>380</v>
      </c>
      <c r="L16" s="11" t="s">
        <v>22</v>
      </c>
      <c r="M16" s="11" t="s">
        <v>2119</v>
      </c>
      <c r="N16" s="24" t="n">
        <v>45840</v>
      </c>
      <c r="O16" s="25" t="n">
        <f aca="false">INT((N16-D16)/365.25)</f>
        <v>20</v>
      </c>
      <c r="P16" s="12" t="s">
        <v>22</v>
      </c>
      <c r="Q16" s="12" t="s">
        <v>2169</v>
      </c>
    </row>
    <row r="17" customFormat="false" ht="15" hidden="false" customHeight="false" outlineLevel="0" collapsed="false">
      <c r="A17" s="51" t="n">
        <v>13</v>
      </c>
      <c r="B17" s="11" t="n">
        <v>855779</v>
      </c>
      <c r="C17" s="12" t="s">
        <v>2191</v>
      </c>
      <c r="D17" s="12" t="n">
        <v>37576</v>
      </c>
      <c r="E17" s="11" t="s">
        <v>1538</v>
      </c>
      <c r="F17" s="11" t="s">
        <v>160</v>
      </c>
      <c r="G17" s="11" t="s">
        <v>2192</v>
      </c>
      <c r="H17" s="11" t="s">
        <v>2192</v>
      </c>
      <c r="I17" s="11" t="n">
        <v>1513567</v>
      </c>
      <c r="J17" s="11" t="n">
        <v>6406</v>
      </c>
      <c r="K17" s="11" t="n">
        <v>260</v>
      </c>
      <c r="L17" s="11" t="s">
        <v>22</v>
      </c>
      <c r="M17" s="11" t="s">
        <v>2119</v>
      </c>
      <c r="N17" s="24" t="n">
        <v>45840</v>
      </c>
      <c r="O17" s="25" t="n">
        <f aca="false">INT((N17-D17)/365.25)</f>
        <v>22</v>
      </c>
      <c r="P17" s="12" t="s">
        <v>22</v>
      </c>
      <c r="Q17" s="12" t="s">
        <v>2169</v>
      </c>
    </row>
    <row r="18" customFormat="false" ht="15" hidden="false" customHeight="false" outlineLevel="0" collapsed="false">
      <c r="A18" s="51" t="n">
        <v>14</v>
      </c>
      <c r="B18" s="11" t="n">
        <v>851588</v>
      </c>
      <c r="C18" s="12" t="s">
        <v>2193</v>
      </c>
      <c r="D18" s="12" t="n">
        <v>37615</v>
      </c>
      <c r="E18" s="11" t="s">
        <v>1538</v>
      </c>
      <c r="F18" s="11" t="s">
        <v>160</v>
      </c>
      <c r="G18" s="11" t="s">
        <v>2194</v>
      </c>
      <c r="H18" s="11" t="s">
        <v>2194</v>
      </c>
      <c r="I18" s="11" t="n">
        <v>1659030</v>
      </c>
      <c r="J18" s="11" t="n">
        <v>8624</v>
      </c>
      <c r="K18" s="11" t="n">
        <v>260</v>
      </c>
      <c r="L18" s="11" t="s">
        <v>22</v>
      </c>
      <c r="M18" s="11" t="s">
        <v>2119</v>
      </c>
      <c r="N18" s="24" t="n">
        <v>45840</v>
      </c>
      <c r="O18" s="25" t="n">
        <f aca="false">INT((N18-D18)/365.25)</f>
        <v>22</v>
      </c>
      <c r="P18" s="12" t="s">
        <v>22</v>
      </c>
      <c r="Q18" s="12" t="s">
        <v>2169</v>
      </c>
    </row>
    <row r="19" customFormat="false" ht="15" hidden="false" customHeight="false" outlineLevel="0" collapsed="false">
      <c r="A19" s="51" t="n">
        <v>15</v>
      </c>
      <c r="B19" s="11" t="n">
        <v>872812</v>
      </c>
      <c r="C19" s="12" t="s">
        <v>2195</v>
      </c>
      <c r="D19" s="12" t="n">
        <v>36715</v>
      </c>
      <c r="E19" s="11" t="s">
        <v>2180</v>
      </c>
      <c r="F19" s="11" t="s">
        <v>160</v>
      </c>
      <c r="G19" s="11" t="s">
        <v>2196</v>
      </c>
      <c r="H19" s="11" t="s">
        <v>2197</v>
      </c>
      <c r="I19" s="11" t="n">
        <v>1578586</v>
      </c>
      <c r="J19" s="11" t="n">
        <v>8440</v>
      </c>
      <c r="K19" s="11" t="n">
        <v>623</v>
      </c>
      <c r="L19" s="11" t="s">
        <v>22</v>
      </c>
      <c r="M19" s="11" t="s">
        <v>2119</v>
      </c>
      <c r="N19" s="24" t="n">
        <v>45840</v>
      </c>
      <c r="O19" s="25" t="n">
        <f aca="false">INT((N19-D19)/365.25)</f>
        <v>24</v>
      </c>
      <c r="P19" s="12" t="s">
        <v>22</v>
      </c>
      <c r="Q19" s="12" t="s">
        <v>1509</v>
      </c>
    </row>
    <row r="20" customFormat="false" ht="15" hidden="false" customHeight="false" outlineLevel="0" collapsed="false">
      <c r="A20" s="51" t="n">
        <v>16</v>
      </c>
      <c r="B20" s="11" t="n">
        <v>855783</v>
      </c>
      <c r="C20" s="12" t="s">
        <v>2265</v>
      </c>
      <c r="D20" s="12" t="n">
        <v>36011</v>
      </c>
      <c r="E20" s="11" t="s">
        <v>1538</v>
      </c>
      <c r="F20" s="11" t="s">
        <v>160</v>
      </c>
      <c r="G20" s="11" t="s">
        <v>2266</v>
      </c>
      <c r="H20" s="11" t="s">
        <v>2266</v>
      </c>
      <c r="I20" s="11" t="s">
        <v>2267</v>
      </c>
      <c r="J20" s="11" t="n">
        <v>1467</v>
      </c>
      <c r="K20" s="11" t="n">
        <v>260</v>
      </c>
      <c r="L20" s="11" t="s">
        <v>22</v>
      </c>
      <c r="M20" s="11" t="s">
        <v>2119</v>
      </c>
      <c r="N20" s="24" t="n">
        <v>45840</v>
      </c>
      <c r="O20" s="25" t="n">
        <f aca="false">INT((N20-D20)/365.25)</f>
        <v>26</v>
      </c>
      <c r="P20" s="12" t="s">
        <v>22</v>
      </c>
      <c r="Q20" s="12" t="s">
        <v>2169</v>
      </c>
    </row>
    <row r="21" customFormat="false" ht="15" hidden="false" customHeight="false" outlineLevel="0" collapsed="false">
      <c r="A21" s="51" t="n">
        <v>17</v>
      </c>
      <c r="B21" s="11" t="n">
        <v>870466</v>
      </c>
      <c r="C21" s="12" t="s">
        <v>2198</v>
      </c>
      <c r="D21" s="12" t="n">
        <v>33764</v>
      </c>
      <c r="E21" s="11" t="s">
        <v>1538</v>
      </c>
      <c r="F21" s="11" t="s">
        <v>160</v>
      </c>
      <c r="G21" s="11" t="s">
        <v>2199</v>
      </c>
      <c r="H21" s="11" t="s">
        <v>2199</v>
      </c>
      <c r="I21" s="11" t="n">
        <v>1083227</v>
      </c>
      <c r="J21" s="11" t="n">
        <v>6456</v>
      </c>
      <c r="K21" s="11" t="n">
        <v>380</v>
      </c>
      <c r="L21" s="11" t="s">
        <v>22</v>
      </c>
      <c r="M21" s="11" t="s">
        <v>2119</v>
      </c>
      <c r="N21" s="24" t="n">
        <v>45840</v>
      </c>
      <c r="O21" s="25" t="n">
        <f aca="false">INT((N21-D21)/365.25)</f>
        <v>33</v>
      </c>
      <c r="P21" s="12" t="s">
        <v>22</v>
      </c>
      <c r="Q21" s="12" t="s">
        <v>1483</v>
      </c>
    </row>
    <row r="22" customFormat="false" ht="15" hidden="false" customHeight="false" outlineLevel="0" collapsed="false">
      <c r="A22" s="51" t="n">
        <v>18</v>
      </c>
      <c r="B22" s="11" t="n">
        <v>872185</v>
      </c>
      <c r="C22" s="12" t="s">
        <v>2200</v>
      </c>
      <c r="D22" s="12" t="n">
        <v>38463</v>
      </c>
      <c r="E22" s="11" t="s">
        <v>1538</v>
      </c>
      <c r="F22" s="11" t="s">
        <v>160</v>
      </c>
      <c r="G22" s="11" t="s">
        <v>2201</v>
      </c>
      <c r="H22" s="11" t="s">
        <v>2201</v>
      </c>
      <c r="I22" s="11" t="n">
        <v>1480224</v>
      </c>
      <c r="J22" s="11" t="n">
        <v>7400</v>
      </c>
      <c r="K22" s="11" t="n">
        <v>380</v>
      </c>
      <c r="L22" s="11" t="s">
        <v>22</v>
      </c>
      <c r="M22" s="11" t="s">
        <v>2119</v>
      </c>
      <c r="N22" s="24" t="n">
        <v>45840</v>
      </c>
      <c r="O22" s="25" t="n">
        <f aca="false">INT((N22-D22)/365.25)</f>
        <v>20</v>
      </c>
      <c r="P22" s="12" t="s">
        <v>22</v>
      </c>
      <c r="Q22" s="12" t="s">
        <v>2169</v>
      </c>
    </row>
    <row r="23" customFormat="false" ht="15" hidden="false" customHeight="false" outlineLevel="0" collapsed="false">
      <c r="A23" s="51" t="n">
        <v>19</v>
      </c>
      <c r="B23" s="11" t="n">
        <v>863237</v>
      </c>
      <c r="C23" s="12" t="s">
        <v>2268</v>
      </c>
      <c r="D23" s="12" t="n">
        <v>35262</v>
      </c>
      <c r="E23" s="11" t="s">
        <v>1538</v>
      </c>
      <c r="F23" s="11" t="s">
        <v>160</v>
      </c>
      <c r="G23" s="11" t="s">
        <v>2269</v>
      </c>
      <c r="H23" s="11" t="s">
        <v>2270</v>
      </c>
      <c r="I23" s="11" t="n">
        <v>1261368</v>
      </c>
      <c r="J23" s="11" t="n">
        <v>7460</v>
      </c>
      <c r="K23" s="11"/>
      <c r="L23" s="11" t="s">
        <v>22</v>
      </c>
      <c r="M23" s="11" t="s">
        <v>2119</v>
      </c>
      <c r="N23" s="24" t="n">
        <v>45840</v>
      </c>
      <c r="O23" s="25" t="n">
        <f aca="false">INT((N23-D23)/365.25)</f>
        <v>28</v>
      </c>
      <c r="P23" s="12" t="s">
        <v>22</v>
      </c>
      <c r="Q23" s="12" t="s">
        <v>2169</v>
      </c>
    </row>
    <row r="24" customFormat="false" ht="15" hidden="false" customHeight="false" outlineLevel="0" collapsed="false">
      <c r="A24" s="51" t="n">
        <v>20</v>
      </c>
      <c r="B24" s="11" t="n">
        <v>867194</v>
      </c>
      <c r="C24" s="12" t="s">
        <v>2202</v>
      </c>
      <c r="D24" s="12" t="n">
        <v>39038</v>
      </c>
      <c r="E24" s="11" t="s">
        <v>1538</v>
      </c>
      <c r="F24" s="11" t="s">
        <v>160</v>
      </c>
      <c r="G24" s="11" t="s">
        <v>2203</v>
      </c>
      <c r="H24" s="11" t="s">
        <v>2203</v>
      </c>
      <c r="I24" s="11" t="n">
        <v>1700219</v>
      </c>
      <c r="J24" s="11" t="n">
        <v>1462</v>
      </c>
      <c r="K24" s="11" t="n">
        <v>380</v>
      </c>
      <c r="L24" s="11" t="s">
        <v>22</v>
      </c>
      <c r="M24" s="11" t="s">
        <v>2119</v>
      </c>
      <c r="N24" s="24" t="n">
        <v>45840</v>
      </c>
      <c r="O24" s="25" t="n">
        <f aca="false">INT((N24-D24)/365.25)</f>
        <v>18</v>
      </c>
      <c r="P24" s="12" t="s">
        <v>22</v>
      </c>
      <c r="Q24" s="12" t="s">
        <v>1483</v>
      </c>
    </row>
    <row r="25" customFormat="false" ht="15" hidden="false" customHeight="false" outlineLevel="0" collapsed="false">
      <c r="A25" s="51" t="n">
        <v>21</v>
      </c>
      <c r="B25" s="11" t="n">
        <v>872202</v>
      </c>
      <c r="C25" s="12" t="s">
        <v>2271</v>
      </c>
      <c r="D25" s="12" t="n">
        <v>36505</v>
      </c>
      <c r="E25" s="11" t="s">
        <v>1538</v>
      </c>
      <c r="F25" s="11" t="s">
        <v>160</v>
      </c>
      <c r="G25" s="11" t="s">
        <v>2272</v>
      </c>
      <c r="H25" s="11" t="s">
        <v>2272</v>
      </c>
      <c r="I25" s="11" t="n">
        <v>1282566</v>
      </c>
      <c r="J25" s="11" t="n">
        <v>9466</v>
      </c>
      <c r="K25" s="11" t="n">
        <v>260</v>
      </c>
      <c r="L25" s="11" t="s">
        <v>22</v>
      </c>
      <c r="M25" s="11" t="s">
        <v>2119</v>
      </c>
      <c r="N25" s="24" t="n">
        <v>45840</v>
      </c>
      <c r="O25" s="25" t="n">
        <f aca="false">INT((N25-D25)/365.25)</f>
        <v>25</v>
      </c>
      <c r="P25" s="12" t="s">
        <v>22</v>
      </c>
      <c r="Q25" s="12" t="s">
        <v>1483</v>
      </c>
    </row>
    <row r="26" customFormat="false" ht="15" hidden="false" customHeight="false" outlineLevel="0" collapsed="false">
      <c r="A26" s="51" t="n">
        <v>22</v>
      </c>
      <c r="B26" s="11" t="n">
        <v>856219</v>
      </c>
      <c r="C26" s="12" t="s">
        <v>2273</v>
      </c>
      <c r="D26" s="12" t="n">
        <v>36877</v>
      </c>
      <c r="E26" s="11" t="s">
        <v>1538</v>
      </c>
      <c r="F26" s="11" t="s">
        <v>160</v>
      </c>
      <c r="G26" s="11" t="s">
        <v>2274</v>
      </c>
      <c r="H26" s="11" t="s">
        <v>2274</v>
      </c>
      <c r="I26" s="11" t="n">
        <v>1533636</v>
      </c>
      <c r="J26" s="11" t="n">
        <v>1410</v>
      </c>
      <c r="K26" s="11" t="n">
        <v>260</v>
      </c>
      <c r="L26" s="11" t="s">
        <v>22</v>
      </c>
      <c r="M26" s="11" t="s">
        <v>2119</v>
      </c>
      <c r="N26" s="24" t="n">
        <v>45840</v>
      </c>
      <c r="O26" s="25" t="n">
        <f aca="false">INT((N26-D26)/365.25)</f>
        <v>24</v>
      </c>
      <c r="P26" s="12" t="s">
        <v>22</v>
      </c>
      <c r="Q26" s="12" t="s">
        <v>2169</v>
      </c>
    </row>
    <row r="27" customFormat="false" ht="15" hidden="false" customHeight="false" outlineLevel="0" collapsed="false">
      <c r="A27" s="51" t="n">
        <v>23</v>
      </c>
      <c r="B27" s="11" t="n">
        <v>872205</v>
      </c>
      <c r="C27" s="12" t="s">
        <v>2204</v>
      </c>
      <c r="D27" s="12" t="n">
        <v>30533</v>
      </c>
      <c r="E27" s="11" t="s">
        <v>1538</v>
      </c>
      <c r="F27" s="11" t="s">
        <v>160</v>
      </c>
      <c r="G27" s="11" t="s">
        <v>2205</v>
      </c>
      <c r="H27" s="11" t="s">
        <v>2205</v>
      </c>
      <c r="I27" s="11" t="s">
        <v>2206</v>
      </c>
      <c r="J27" s="11" t="n">
        <v>7442</v>
      </c>
      <c r="K27" s="11" t="n">
        <v>33</v>
      </c>
      <c r="L27" s="11" t="s">
        <v>22</v>
      </c>
      <c r="M27" s="11" t="s">
        <v>2119</v>
      </c>
      <c r="N27" s="24" t="n">
        <v>45840</v>
      </c>
      <c r="O27" s="25" t="n">
        <f aca="false">INT((N27-D27)/365.25)</f>
        <v>41</v>
      </c>
      <c r="P27" s="12" t="s">
        <v>22</v>
      </c>
      <c r="Q27" s="12" t="s">
        <v>22</v>
      </c>
    </row>
    <row r="28" customFormat="false" ht="15" hidden="false" customHeight="false" outlineLevel="0" collapsed="false">
      <c r="A28" s="51" t="n">
        <v>24</v>
      </c>
      <c r="B28" s="11" t="n">
        <v>857170</v>
      </c>
      <c r="C28" s="12" t="s">
        <v>2207</v>
      </c>
      <c r="D28" s="12" t="n">
        <v>37881</v>
      </c>
      <c r="E28" s="11" t="s">
        <v>1538</v>
      </c>
      <c r="F28" s="11" t="s">
        <v>160</v>
      </c>
      <c r="G28" s="11" t="s">
        <v>2208</v>
      </c>
      <c r="H28" s="11" t="n">
        <v>45022529</v>
      </c>
      <c r="I28" s="11" t="n">
        <v>1605364</v>
      </c>
      <c r="J28" s="11" t="n">
        <v>5419</v>
      </c>
      <c r="K28" s="11" t="n">
        <v>260</v>
      </c>
      <c r="L28" s="11" t="s">
        <v>22</v>
      </c>
      <c r="M28" s="11" t="s">
        <v>2119</v>
      </c>
      <c r="N28" s="24" t="n">
        <v>45840</v>
      </c>
      <c r="O28" s="25" t="n">
        <f aca="false">INT((N28-D28)/365.25)</f>
        <v>21</v>
      </c>
      <c r="P28" s="12" t="s">
        <v>22</v>
      </c>
      <c r="Q28" s="12" t="s">
        <v>2169</v>
      </c>
    </row>
    <row r="29" customFormat="false" ht="15" hidden="false" customHeight="false" outlineLevel="0" collapsed="false">
      <c r="A29" s="51" t="n">
        <v>25</v>
      </c>
      <c r="B29" s="11" t="n">
        <v>862220</v>
      </c>
      <c r="C29" s="12" t="s">
        <v>2275</v>
      </c>
      <c r="D29" s="12" t="n">
        <v>37038</v>
      </c>
      <c r="E29" s="11" t="s">
        <v>1538</v>
      </c>
      <c r="F29" s="11" t="s">
        <v>160</v>
      </c>
      <c r="G29" s="11" t="s">
        <v>2276</v>
      </c>
      <c r="H29" s="11" t="s">
        <v>2276</v>
      </c>
      <c r="I29" s="11" t="n">
        <v>7137828</v>
      </c>
      <c r="J29" s="11" t="n">
        <v>7444</v>
      </c>
      <c r="K29" s="11" t="s">
        <v>2183</v>
      </c>
      <c r="L29" s="11" t="s">
        <v>30</v>
      </c>
      <c r="M29" s="11" t="s">
        <v>2119</v>
      </c>
      <c r="N29" s="24" t="n">
        <v>45840</v>
      </c>
      <c r="O29" s="25" t="n">
        <f aca="false">INT((N29-D29)/365.25)</f>
        <v>24</v>
      </c>
      <c r="P29" s="12" t="s">
        <v>22</v>
      </c>
      <c r="Q29" s="12"/>
    </row>
    <row r="30" customFormat="false" ht="15" hidden="false" customHeight="false" outlineLevel="0" collapsed="false">
      <c r="A30" s="51" t="n">
        <v>26</v>
      </c>
      <c r="B30" s="11" t="n">
        <v>862156</v>
      </c>
      <c r="C30" s="12" t="s">
        <v>1599</v>
      </c>
      <c r="D30" s="12" t="n">
        <v>38672</v>
      </c>
      <c r="E30" s="11" t="s">
        <v>1538</v>
      </c>
      <c r="F30" s="11" t="s">
        <v>160</v>
      </c>
      <c r="G30" s="11" t="s">
        <v>1600</v>
      </c>
      <c r="H30" s="11" t="n">
        <v>45221335</v>
      </c>
      <c r="I30" s="11" t="n">
        <v>1384379</v>
      </c>
      <c r="J30" s="11" t="n">
        <v>3476</v>
      </c>
      <c r="K30" s="11"/>
      <c r="L30" s="11" t="s">
        <v>30</v>
      </c>
      <c r="M30" s="11" t="s">
        <v>2119</v>
      </c>
      <c r="N30" s="24" t="n">
        <v>45840</v>
      </c>
      <c r="O30" s="25" t="n">
        <f aca="false">INT((N30-D30)/365.25)</f>
        <v>19</v>
      </c>
      <c r="P30" s="12" t="s">
        <v>22</v>
      </c>
      <c r="Q30" s="12" t="s">
        <v>1509</v>
      </c>
    </row>
    <row r="31" customFormat="false" ht="15" hidden="false" customHeight="false" outlineLevel="0" collapsed="false">
      <c r="A31" s="51" t="n">
        <v>27</v>
      </c>
      <c r="B31" s="11" t="n">
        <v>872220</v>
      </c>
      <c r="C31" s="12" t="s">
        <v>2209</v>
      </c>
      <c r="D31" s="12" t="n">
        <v>36517</v>
      </c>
      <c r="E31" s="11" t="s">
        <v>2180</v>
      </c>
      <c r="F31" s="11" t="s">
        <v>160</v>
      </c>
      <c r="G31" s="11" t="s">
        <v>2210</v>
      </c>
      <c r="H31" s="11" t="s">
        <v>2210</v>
      </c>
      <c r="I31" s="11" t="n">
        <v>7158058</v>
      </c>
      <c r="J31" s="11" t="n">
        <v>9480</v>
      </c>
      <c r="K31" s="11" t="n">
        <v>323</v>
      </c>
      <c r="L31" s="11" t="s">
        <v>22</v>
      </c>
      <c r="M31" s="11" t="s">
        <v>2119</v>
      </c>
      <c r="N31" s="24" t="n">
        <v>45840</v>
      </c>
      <c r="O31" s="25" t="n">
        <f aca="false">INT((N31-D31)/365.25)</f>
        <v>25</v>
      </c>
      <c r="P31" s="12" t="s">
        <v>22</v>
      </c>
      <c r="Q31" s="12" t="s">
        <v>22</v>
      </c>
    </row>
    <row r="32" customFormat="false" ht="15" hidden="false" customHeight="false" outlineLevel="0" collapsed="false">
      <c r="A32" s="51" t="n">
        <v>28</v>
      </c>
      <c r="B32" s="11" t="n">
        <v>872813</v>
      </c>
      <c r="C32" s="12" t="s">
        <v>2211</v>
      </c>
      <c r="D32" s="12" t="n">
        <v>34633</v>
      </c>
      <c r="E32" s="11" t="s">
        <v>2180</v>
      </c>
      <c r="F32" s="11" t="s">
        <v>160</v>
      </c>
      <c r="G32" s="11" t="s">
        <v>2212</v>
      </c>
      <c r="H32" s="11" t="s">
        <v>2212</v>
      </c>
      <c r="I32" s="11" t="s">
        <v>2213</v>
      </c>
      <c r="J32" s="11" t="s">
        <v>2214</v>
      </c>
      <c r="K32" s="11" t="n">
        <v>260</v>
      </c>
      <c r="L32" s="11" t="s">
        <v>22</v>
      </c>
      <c r="M32" s="11" t="s">
        <v>2119</v>
      </c>
      <c r="N32" s="24" t="n">
        <v>45840</v>
      </c>
      <c r="O32" s="25" t="n">
        <f aca="false">INT((N32-D32)/365.25)</f>
        <v>30</v>
      </c>
      <c r="P32" s="12" t="s">
        <v>22</v>
      </c>
      <c r="Q32" s="12" t="s">
        <v>2169</v>
      </c>
    </row>
    <row r="33" customFormat="false" ht="15" hidden="false" customHeight="false" outlineLevel="0" collapsed="false">
      <c r="A33" s="51" t="n">
        <v>29</v>
      </c>
      <c r="B33" s="11" t="n">
        <v>871543</v>
      </c>
      <c r="C33" s="12" t="s">
        <v>2215</v>
      </c>
      <c r="D33" s="12" t="n">
        <v>36373</v>
      </c>
      <c r="E33" s="11" t="s">
        <v>2180</v>
      </c>
      <c r="F33" s="11" t="s">
        <v>160</v>
      </c>
      <c r="G33" s="11" t="s">
        <v>2216</v>
      </c>
      <c r="H33" s="11" t="s">
        <v>2217</v>
      </c>
      <c r="I33" s="11" t="n">
        <v>1463270</v>
      </c>
      <c r="J33" s="11" t="n">
        <v>1432</v>
      </c>
      <c r="K33" s="11" t="n">
        <v>260</v>
      </c>
      <c r="L33" s="11" t="s">
        <v>22</v>
      </c>
      <c r="M33" s="11" t="s">
        <v>2119</v>
      </c>
      <c r="N33" s="24" t="n">
        <v>45840</v>
      </c>
      <c r="O33" s="25" t="n">
        <f aca="false">INT((N33-D33)/365.25)</f>
        <v>25</v>
      </c>
      <c r="P33" s="12" t="s">
        <v>22</v>
      </c>
      <c r="Q33" s="12" t="s">
        <v>2169</v>
      </c>
    </row>
    <row r="34" customFormat="false" ht="15" hidden="false" customHeight="false" outlineLevel="0" collapsed="false">
      <c r="A34" s="51" t="n">
        <v>30</v>
      </c>
      <c r="B34" s="11" t="n">
        <v>861691</v>
      </c>
      <c r="C34" s="12" t="s">
        <v>2220</v>
      </c>
      <c r="D34" s="12" t="n">
        <v>35243</v>
      </c>
      <c r="E34" s="11" t="s">
        <v>2180</v>
      </c>
      <c r="F34" s="11" t="s">
        <v>160</v>
      </c>
      <c r="G34" s="11" t="s">
        <v>2221</v>
      </c>
      <c r="H34" s="11" t="s">
        <v>2221</v>
      </c>
      <c r="I34" s="11" t="n">
        <v>1206099</v>
      </c>
      <c r="J34" s="11" t="n">
        <v>3482</v>
      </c>
      <c r="K34" s="11" t="s">
        <v>2183</v>
      </c>
      <c r="L34" s="11" t="s">
        <v>30</v>
      </c>
      <c r="M34" s="11" t="s">
        <v>2119</v>
      </c>
      <c r="N34" s="24" t="n">
        <v>45840</v>
      </c>
      <c r="O34" s="25" t="n">
        <f aca="false">INT((N34-D34)/365.25)</f>
        <v>29</v>
      </c>
      <c r="P34" s="12" t="s">
        <v>22</v>
      </c>
      <c r="Q34" s="12"/>
    </row>
    <row r="35" customFormat="false" ht="15" hidden="false" customHeight="false" outlineLevel="0" collapsed="false">
      <c r="A35" s="51" t="n">
        <v>31</v>
      </c>
      <c r="B35" s="11" t="n">
        <v>851616</v>
      </c>
      <c r="C35" s="12" t="s">
        <v>2222</v>
      </c>
      <c r="D35" s="12" t="n">
        <v>33217</v>
      </c>
      <c r="E35" s="11" t="s">
        <v>2180</v>
      </c>
      <c r="F35" s="11" t="s">
        <v>160</v>
      </c>
      <c r="G35" s="11" t="s">
        <v>2223</v>
      </c>
      <c r="H35" s="11" t="s">
        <v>2223</v>
      </c>
      <c r="I35" s="11" t="s">
        <v>2224</v>
      </c>
      <c r="J35" s="11" t="n">
        <v>2441</v>
      </c>
      <c r="K35" s="11" t="n">
        <v>341</v>
      </c>
      <c r="L35" s="11" t="s">
        <v>30</v>
      </c>
      <c r="M35" s="11" t="s">
        <v>2119</v>
      </c>
      <c r="N35" s="24" t="n">
        <v>45840</v>
      </c>
      <c r="O35" s="25" t="n">
        <f aca="false">INT((N35-D35)/365.25)</f>
        <v>34</v>
      </c>
      <c r="P35" s="12" t="s">
        <v>22</v>
      </c>
      <c r="Q35" s="12"/>
    </row>
    <row r="36" customFormat="false" ht="15" hidden="false" customHeight="false" outlineLevel="0" collapsed="false">
      <c r="A36" s="51" t="n">
        <v>32</v>
      </c>
      <c r="B36" s="11" t="n">
        <v>862335</v>
      </c>
      <c r="C36" s="12" t="s">
        <v>2277</v>
      </c>
      <c r="D36" s="12" t="n">
        <v>37564</v>
      </c>
      <c r="E36" s="11" t="s">
        <v>2180</v>
      </c>
      <c r="F36" s="11" t="s">
        <v>160</v>
      </c>
      <c r="G36" s="11" t="s">
        <v>2278</v>
      </c>
      <c r="H36" s="11" t="s">
        <v>2278</v>
      </c>
      <c r="I36" s="11" t="n">
        <v>1683407</v>
      </c>
      <c r="J36" s="11" t="n">
        <v>7413</v>
      </c>
      <c r="K36" s="11" t="n">
        <v>260</v>
      </c>
      <c r="L36" s="11" t="s">
        <v>22</v>
      </c>
      <c r="M36" s="11" t="s">
        <v>2119</v>
      </c>
      <c r="N36" s="24" t="n">
        <v>45840</v>
      </c>
      <c r="O36" s="25" t="n">
        <f aca="false">INT((N36-D36)/365.25)</f>
        <v>22</v>
      </c>
      <c r="P36" s="12" t="s">
        <v>22</v>
      </c>
      <c r="Q36" s="12" t="s">
        <v>22</v>
      </c>
    </row>
    <row r="37" customFormat="false" ht="15" hidden="false" customHeight="false" outlineLevel="0" collapsed="false">
      <c r="A37" s="51" t="n">
        <v>33</v>
      </c>
      <c r="B37" s="11" t="n">
        <v>855802</v>
      </c>
      <c r="C37" s="12" t="s">
        <v>2225</v>
      </c>
      <c r="D37" s="12" t="n">
        <v>33276</v>
      </c>
      <c r="E37" s="11" t="s">
        <v>2180</v>
      </c>
      <c r="F37" s="11" t="s">
        <v>160</v>
      </c>
      <c r="G37" s="11" t="s">
        <v>2226</v>
      </c>
      <c r="H37" s="11" t="s">
        <v>2227</v>
      </c>
      <c r="I37" s="11" t="n">
        <v>917420</v>
      </c>
      <c r="J37" s="11" t="n">
        <v>9426</v>
      </c>
      <c r="K37" s="11" t="s">
        <v>2183</v>
      </c>
      <c r="L37" s="11" t="s">
        <v>30</v>
      </c>
      <c r="M37" s="11" t="s">
        <v>2119</v>
      </c>
      <c r="N37" s="24" t="n">
        <v>45840</v>
      </c>
      <c r="O37" s="25" t="n">
        <f aca="false">INT((N37-D37)/365.25)</f>
        <v>34</v>
      </c>
      <c r="P37" s="12" t="s">
        <v>22</v>
      </c>
      <c r="Q37" s="12" t="s">
        <v>2131</v>
      </c>
    </row>
    <row r="38" customFormat="false" ht="15" hidden="false" customHeight="false" outlineLevel="0" collapsed="false">
      <c r="A38" s="51" t="n">
        <v>34</v>
      </c>
      <c r="B38" s="11" t="n">
        <v>863259</v>
      </c>
      <c r="C38" s="12" t="s">
        <v>2279</v>
      </c>
      <c r="D38" s="12" t="n">
        <v>36243</v>
      </c>
      <c r="E38" s="11" t="s">
        <v>2180</v>
      </c>
      <c r="F38" s="11" t="s">
        <v>160</v>
      </c>
      <c r="G38" s="11" t="s">
        <v>2280</v>
      </c>
      <c r="H38" s="11" t="s">
        <v>2280</v>
      </c>
      <c r="I38" s="11" t="n">
        <v>1608421</v>
      </c>
      <c r="J38" s="11" t="n">
        <v>9454</v>
      </c>
      <c r="K38" s="11" t="s">
        <v>2183</v>
      </c>
      <c r="L38" s="11" t="s">
        <v>30</v>
      </c>
      <c r="M38" s="11" t="s">
        <v>2119</v>
      </c>
      <c r="N38" s="24" t="n">
        <v>45840</v>
      </c>
      <c r="O38" s="25" t="n">
        <f aca="false">INT((N38-D38)/365.25)</f>
        <v>26</v>
      </c>
      <c r="P38" s="12" t="s">
        <v>22</v>
      </c>
      <c r="Q38" s="12"/>
    </row>
    <row r="39" customFormat="false" ht="15" hidden="false" customHeight="false" outlineLevel="0" collapsed="false">
      <c r="A39" s="51" t="n">
        <v>35</v>
      </c>
      <c r="B39" s="11" t="n">
        <v>872232</v>
      </c>
      <c r="C39" s="12" t="s">
        <v>2281</v>
      </c>
      <c r="D39" s="12" t="n">
        <v>37037</v>
      </c>
      <c r="E39" s="11" t="s">
        <v>2180</v>
      </c>
      <c r="F39" s="11" t="s">
        <v>160</v>
      </c>
      <c r="G39" s="11" t="s">
        <v>2282</v>
      </c>
      <c r="H39" s="11" t="s">
        <v>2282</v>
      </c>
      <c r="I39" s="11" t="n">
        <v>1487294</v>
      </c>
      <c r="J39" s="11" t="n">
        <v>7436</v>
      </c>
      <c r="K39" s="11" t="s">
        <v>2183</v>
      </c>
      <c r="L39" s="11" t="s">
        <v>30</v>
      </c>
      <c r="M39" s="11" t="s">
        <v>2119</v>
      </c>
      <c r="N39" s="24" t="n">
        <v>45840</v>
      </c>
      <c r="O39" s="25" t="n">
        <f aca="false">INT((N39-D39)/365.25)</f>
        <v>24</v>
      </c>
      <c r="P39" s="12" t="s">
        <v>22</v>
      </c>
      <c r="Q39" s="12"/>
    </row>
    <row r="40" customFormat="false" ht="15" hidden="false" customHeight="false" outlineLevel="0" collapsed="false">
      <c r="A40" s="51" t="n">
        <v>36</v>
      </c>
      <c r="B40" s="11" t="n">
        <v>872223</v>
      </c>
      <c r="C40" s="12" t="s">
        <v>2283</v>
      </c>
      <c r="D40" s="12" t="n">
        <v>35495</v>
      </c>
      <c r="E40" s="11" t="s">
        <v>2180</v>
      </c>
      <c r="F40" s="11" t="s">
        <v>160</v>
      </c>
      <c r="G40" s="11" t="s">
        <v>2284</v>
      </c>
      <c r="H40" s="11" t="s">
        <v>2284</v>
      </c>
      <c r="I40" s="11" t="n">
        <v>7130285</v>
      </c>
      <c r="J40" s="11" t="s">
        <v>2285</v>
      </c>
      <c r="K40" s="11" t="n">
        <v>260</v>
      </c>
      <c r="L40" s="11" t="s">
        <v>22</v>
      </c>
      <c r="M40" s="11" t="s">
        <v>2119</v>
      </c>
      <c r="N40" s="24" t="n">
        <v>45840</v>
      </c>
      <c r="O40" s="25" t="n">
        <f aca="false">INT((N40-D40)/365.25)</f>
        <v>28</v>
      </c>
      <c r="P40" s="12" t="s">
        <v>22</v>
      </c>
      <c r="Q40" s="12" t="s">
        <v>2169</v>
      </c>
    </row>
    <row r="41" customFormat="false" ht="15" hidden="false" customHeight="false" outlineLevel="0" collapsed="false">
      <c r="A41" s="51" t="n">
        <v>37</v>
      </c>
      <c r="B41" s="11" t="n">
        <v>872224</v>
      </c>
      <c r="C41" s="12" t="s">
        <v>2231</v>
      </c>
      <c r="D41" s="12" t="n">
        <v>39114</v>
      </c>
      <c r="E41" s="11" t="s">
        <v>2180</v>
      </c>
      <c r="F41" s="11" t="s">
        <v>160</v>
      </c>
      <c r="G41" s="11" t="s">
        <v>2232</v>
      </c>
      <c r="H41" s="11" t="s">
        <v>2232</v>
      </c>
      <c r="I41" s="11" t="n">
        <v>1277537</v>
      </c>
      <c r="J41" s="11" t="n">
        <v>8447</v>
      </c>
      <c r="K41" s="11" t="n">
        <v>77</v>
      </c>
      <c r="L41" s="11" t="s">
        <v>22</v>
      </c>
      <c r="M41" s="11" t="s">
        <v>2119</v>
      </c>
      <c r="N41" s="24" t="n">
        <v>45840</v>
      </c>
      <c r="O41" s="25" t="n">
        <f aca="false">INT((N41-D41)/365.25)</f>
        <v>18</v>
      </c>
      <c r="P41" s="12" t="s">
        <v>22</v>
      </c>
      <c r="Q41" s="12" t="s">
        <v>2169</v>
      </c>
    </row>
    <row r="42" customFormat="false" ht="15" hidden="false" customHeight="false" outlineLevel="0" collapsed="false">
      <c r="A42" s="51" t="n">
        <v>38</v>
      </c>
      <c r="B42" s="11" t="n">
        <v>872225</v>
      </c>
      <c r="C42" s="12" t="s">
        <v>2286</v>
      </c>
      <c r="D42" s="12" t="n">
        <v>37606</v>
      </c>
      <c r="E42" s="11" t="s">
        <v>2180</v>
      </c>
      <c r="F42" s="11" t="s">
        <v>160</v>
      </c>
      <c r="G42" s="11" t="s">
        <v>2287</v>
      </c>
      <c r="H42" s="11" t="s">
        <v>2287</v>
      </c>
      <c r="I42" s="11" t="s">
        <v>2288</v>
      </c>
      <c r="J42" s="11" t="n">
        <v>8476</v>
      </c>
      <c r="K42" s="11" t="n">
        <v>260</v>
      </c>
      <c r="L42" s="11" t="s">
        <v>22</v>
      </c>
      <c r="M42" s="11" t="s">
        <v>2119</v>
      </c>
      <c r="N42" s="24" t="n">
        <v>45840</v>
      </c>
      <c r="O42" s="25" t="n">
        <f aca="false">INT((N42-D42)/365.25)</f>
        <v>22</v>
      </c>
      <c r="P42" s="12" t="s">
        <v>22</v>
      </c>
      <c r="Q42" s="12" t="s">
        <v>2169</v>
      </c>
    </row>
    <row r="43" customFormat="false" ht="15" hidden="false" customHeight="false" outlineLevel="0" collapsed="false">
      <c r="A43" s="51" t="n">
        <v>39</v>
      </c>
      <c r="B43" s="11" t="n">
        <v>872932</v>
      </c>
      <c r="C43" s="12" t="s">
        <v>2233</v>
      </c>
      <c r="D43" s="12" t="n">
        <v>36883</v>
      </c>
      <c r="E43" s="11" t="s">
        <v>1538</v>
      </c>
      <c r="F43" s="11" t="s">
        <v>160</v>
      </c>
      <c r="G43" s="11" t="s">
        <v>2234</v>
      </c>
      <c r="H43" s="11" t="n">
        <v>2206194171</v>
      </c>
      <c r="I43" s="11" t="n">
        <v>8645362</v>
      </c>
      <c r="J43" s="11" t="n">
        <v>588</v>
      </c>
      <c r="K43" s="11"/>
      <c r="L43" s="11" t="s">
        <v>22</v>
      </c>
      <c r="M43" s="11" t="s">
        <v>2119</v>
      </c>
      <c r="N43" s="24" t="n">
        <v>45840</v>
      </c>
      <c r="O43" s="25" t="n">
        <f aca="false">INT((N43-D43)/365.25)</f>
        <v>24</v>
      </c>
      <c r="P43" s="12" t="s">
        <v>22</v>
      </c>
      <c r="Q43" s="12" t="s">
        <v>2235</v>
      </c>
    </row>
    <row r="44" customFormat="false" ht="15" hidden="false" customHeight="false" outlineLevel="0" collapsed="false">
      <c r="A44" s="51" t="n">
        <v>40</v>
      </c>
      <c r="B44" s="11" t="n">
        <v>872227</v>
      </c>
      <c r="C44" s="12" t="s">
        <v>2236</v>
      </c>
      <c r="D44" s="12" t="n">
        <v>38505</v>
      </c>
      <c r="E44" s="11" t="s">
        <v>2180</v>
      </c>
      <c r="F44" s="11" t="s">
        <v>160</v>
      </c>
      <c r="G44" s="11" t="s">
        <v>2237</v>
      </c>
      <c r="H44" s="11" t="s">
        <v>2237</v>
      </c>
      <c r="I44" s="11" t="n">
        <v>1521614</v>
      </c>
      <c r="J44" s="11" t="s">
        <v>2238</v>
      </c>
      <c r="K44" s="11" t="s">
        <v>2183</v>
      </c>
      <c r="L44" s="11" t="s">
        <v>30</v>
      </c>
      <c r="M44" s="11" t="s">
        <v>2119</v>
      </c>
      <c r="N44" s="24" t="n">
        <v>45840</v>
      </c>
      <c r="O44" s="25" t="n">
        <f aca="false">INT((N44-D44)/365.25)</f>
        <v>20</v>
      </c>
      <c r="P44" s="12" t="s">
        <v>22</v>
      </c>
      <c r="Q44" s="12"/>
    </row>
    <row r="45" customFormat="false" ht="15" hidden="false" customHeight="false" outlineLevel="0" collapsed="false">
      <c r="A45" s="51" t="n">
        <v>41</v>
      </c>
      <c r="B45" s="11" t="n">
        <v>861622</v>
      </c>
      <c r="C45" s="12" t="s">
        <v>2239</v>
      </c>
      <c r="D45" s="12" t="n">
        <v>32442</v>
      </c>
      <c r="E45" s="11" t="s">
        <v>2180</v>
      </c>
      <c r="F45" s="11" t="s">
        <v>160</v>
      </c>
      <c r="G45" s="11" t="s">
        <v>2240</v>
      </c>
      <c r="H45" s="11" t="s">
        <v>2240</v>
      </c>
      <c r="I45" s="11" t="s">
        <v>2241</v>
      </c>
      <c r="J45" s="11" t="n">
        <v>5400</v>
      </c>
      <c r="K45" s="11" t="n">
        <v>260</v>
      </c>
      <c r="L45" s="11" t="s">
        <v>22</v>
      </c>
      <c r="M45" s="11" t="s">
        <v>2119</v>
      </c>
      <c r="N45" s="24" t="n">
        <v>45840</v>
      </c>
      <c r="O45" s="25" t="n">
        <f aca="false">INT((N45-D45)/365.25)</f>
        <v>36</v>
      </c>
      <c r="P45" s="12" t="s">
        <v>22</v>
      </c>
      <c r="Q45" s="12" t="s">
        <v>22</v>
      </c>
    </row>
    <row r="46" customFormat="false" ht="15" hidden="false" customHeight="false" outlineLevel="0" collapsed="false">
      <c r="A46" s="51" t="n">
        <v>42</v>
      </c>
      <c r="B46" s="11" t="n">
        <v>851642</v>
      </c>
      <c r="C46" s="12" t="s">
        <v>2242</v>
      </c>
      <c r="D46" s="12" t="n">
        <v>37395</v>
      </c>
      <c r="E46" s="11" t="s">
        <v>2180</v>
      </c>
      <c r="F46" s="11" t="s">
        <v>160</v>
      </c>
      <c r="G46" s="11" t="s">
        <v>2243</v>
      </c>
      <c r="H46" s="11" t="s">
        <v>2244</v>
      </c>
      <c r="I46" s="11" t="n">
        <v>1457199</v>
      </c>
      <c r="J46" s="11" t="n">
        <v>1495</v>
      </c>
      <c r="K46" s="11" t="s">
        <v>2183</v>
      </c>
      <c r="L46" s="11" t="s">
        <v>30</v>
      </c>
      <c r="M46" s="11" t="s">
        <v>2119</v>
      </c>
      <c r="N46" s="24" t="n">
        <v>45840</v>
      </c>
      <c r="O46" s="25" t="n">
        <f aca="false">INT((N46-D46)/365.25)</f>
        <v>23</v>
      </c>
      <c r="P46" s="12" t="s">
        <v>22</v>
      </c>
      <c r="Q46" s="12" t="s">
        <v>2245</v>
      </c>
    </row>
    <row r="47" customFormat="false" ht="15" hidden="false" customHeight="false" outlineLevel="0" collapsed="false">
      <c r="A47" s="51" t="n">
        <v>43</v>
      </c>
      <c r="B47" s="11" t="n">
        <v>872229</v>
      </c>
      <c r="C47" s="12" t="s">
        <v>2289</v>
      </c>
      <c r="D47" s="12" t="n">
        <v>37363</v>
      </c>
      <c r="E47" s="11" t="s">
        <v>2180</v>
      </c>
      <c r="F47" s="11" t="s">
        <v>160</v>
      </c>
      <c r="G47" s="11" t="s">
        <v>2290</v>
      </c>
      <c r="H47" s="11" t="s">
        <v>2290</v>
      </c>
      <c r="I47" s="11" t="n">
        <v>1057671</v>
      </c>
      <c r="J47" s="11" t="n">
        <v>8432</v>
      </c>
      <c r="K47" s="11" t="s">
        <v>2183</v>
      </c>
      <c r="L47" s="11" t="s">
        <v>30</v>
      </c>
      <c r="M47" s="11" t="s">
        <v>2119</v>
      </c>
      <c r="N47" s="24" t="n">
        <v>45840</v>
      </c>
      <c r="O47" s="25" t="n">
        <f aca="false">INT((N47-D47)/365.25)</f>
        <v>23</v>
      </c>
      <c r="P47" s="12" t="s">
        <v>22</v>
      </c>
      <c r="Q47" s="12"/>
    </row>
    <row r="48" customFormat="false" ht="15" hidden="false" customHeight="false" outlineLevel="0" collapsed="false">
      <c r="A48" s="51" t="n">
        <v>44</v>
      </c>
      <c r="B48" s="11" t="n">
        <v>861626</v>
      </c>
      <c r="C48" s="12" t="s">
        <v>2246</v>
      </c>
      <c r="D48" s="12" t="n">
        <v>37176</v>
      </c>
      <c r="E48" s="11" t="s">
        <v>2180</v>
      </c>
      <c r="F48" s="11" t="s">
        <v>160</v>
      </c>
      <c r="G48" s="11" t="s">
        <v>2247</v>
      </c>
      <c r="H48" s="11" t="s">
        <v>2247</v>
      </c>
      <c r="I48" s="11" t="n">
        <v>1510185</v>
      </c>
      <c r="J48" s="11" t="n">
        <v>8447</v>
      </c>
      <c r="K48" s="11" t="n">
        <v>260</v>
      </c>
      <c r="L48" s="11" t="s">
        <v>22</v>
      </c>
      <c r="M48" s="11" t="s">
        <v>2119</v>
      </c>
      <c r="N48" s="24" t="n">
        <v>45840</v>
      </c>
      <c r="O48" s="25" t="n">
        <f aca="false">INT((N48-D48)/365.25)</f>
        <v>23</v>
      </c>
      <c r="P48" s="12" t="s">
        <v>22</v>
      </c>
      <c r="Q48" s="12" t="s">
        <v>22</v>
      </c>
    </row>
    <row r="49" customFormat="false" ht="15" hidden="false" customHeight="false" outlineLevel="0" collapsed="false">
      <c r="A49" s="51" t="n">
        <v>45</v>
      </c>
      <c r="B49" s="11" t="n">
        <v>872861</v>
      </c>
      <c r="C49" s="12" t="s">
        <v>2248</v>
      </c>
      <c r="D49" s="12" t="n">
        <v>36788</v>
      </c>
      <c r="E49" s="11" t="s">
        <v>1538</v>
      </c>
      <c r="F49" s="11" t="s">
        <v>160</v>
      </c>
      <c r="G49" s="11" t="s">
        <v>2249</v>
      </c>
      <c r="H49" s="11" t="s">
        <v>2250</v>
      </c>
      <c r="I49" s="11" t="n">
        <v>5162393</v>
      </c>
      <c r="J49" s="11" t="n">
        <v>60</v>
      </c>
      <c r="K49" s="11"/>
      <c r="L49" s="11" t="s">
        <v>22</v>
      </c>
      <c r="M49" s="11" t="s">
        <v>2119</v>
      </c>
      <c r="N49" s="24" t="n">
        <v>45840</v>
      </c>
      <c r="O49" s="25" t="n">
        <f aca="false">INT((N49-D49)/365.25)</f>
        <v>24</v>
      </c>
      <c r="P49" s="12" t="s">
        <v>22</v>
      </c>
      <c r="Q49" s="12" t="s">
        <v>22</v>
      </c>
    </row>
    <row r="50" customFormat="false" ht="15" hidden="false" customHeight="false" outlineLevel="0" collapsed="false">
      <c r="A50" s="51" t="n">
        <v>46</v>
      </c>
      <c r="B50" s="11" t="n">
        <v>872534</v>
      </c>
      <c r="C50" s="12" t="s">
        <v>2251</v>
      </c>
      <c r="D50" s="12" t="n">
        <v>37495</v>
      </c>
      <c r="E50" s="11" t="s">
        <v>2180</v>
      </c>
      <c r="F50" s="11" t="s">
        <v>160</v>
      </c>
      <c r="G50" s="11" t="s">
        <v>2252</v>
      </c>
      <c r="H50" s="11" t="s">
        <v>2252</v>
      </c>
      <c r="I50" s="11" t="n">
        <v>1381857</v>
      </c>
      <c r="J50" s="11" t="n">
        <v>7447</v>
      </c>
      <c r="K50" s="11" t="n">
        <v>237</v>
      </c>
      <c r="L50" s="11" t="s">
        <v>22</v>
      </c>
      <c r="M50" s="11" t="s">
        <v>2119</v>
      </c>
      <c r="N50" s="24" t="n">
        <v>45840</v>
      </c>
      <c r="O50" s="25" t="n">
        <f aca="false">INT((N50-D50)/365.25)</f>
        <v>22</v>
      </c>
      <c r="P50" s="12" t="s">
        <v>22</v>
      </c>
      <c r="Q50" s="12" t="s">
        <v>1509</v>
      </c>
    </row>
    <row r="51" customFormat="false" ht="15" hidden="false" customHeight="false" outlineLevel="0" collapsed="false">
      <c r="A51" s="51" t="n">
        <v>47</v>
      </c>
      <c r="B51" s="11" t="n">
        <v>872230</v>
      </c>
      <c r="C51" s="12" t="s">
        <v>2291</v>
      </c>
      <c r="D51" s="12" t="n">
        <v>35600</v>
      </c>
      <c r="E51" s="11" t="s">
        <v>2180</v>
      </c>
      <c r="F51" s="11" t="s">
        <v>160</v>
      </c>
      <c r="G51" s="11" t="s">
        <v>2292</v>
      </c>
      <c r="H51" s="11" t="s">
        <v>2292</v>
      </c>
      <c r="I51" s="11" t="n">
        <v>1057672</v>
      </c>
      <c r="J51" s="11" t="n">
        <v>1490</v>
      </c>
      <c r="K51" s="11" t="n">
        <v>77</v>
      </c>
      <c r="L51" s="11" t="s">
        <v>30</v>
      </c>
      <c r="M51" s="11" t="s">
        <v>2119</v>
      </c>
      <c r="N51" s="24" t="n">
        <v>45840</v>
      </c>
      <c r="O51" s="25" t="n">
        <f aca="false">INT((N51-D51)/365.25)</f>
        <v>28</v>
      </c>
      <c r="P51" s="12" t="s">
        <v>22</v>
      </c>
      <c r="Q51" s="12" t="s">
        <v>1509</v>
      </c>
    </row>
    <row r="52" customFormat="false" ht="15" hidden="false" customHeight="false" outlineLevel="0" collapsed="false">
      <c r="A52" s="51" t="n">
        <v>48</v>
      </c>
      <c r="B52" s="11" t="n">
        <v>872814</v>
      </c>
      <c r="C52" s="12" t="s">
        <v>2253</v>
      </c>
      <c r="D52" s="12" t="n">
        <v>35393</v>
      </c>
      <c r="E52" s="11" t="s">
        <v>2180</v>
      </c>
      <c r="F52" s="11" t="s">
        <v>160</v>
      </c>
      <c r="G52" s="11" t="s">
        <v>2254</v>
      </c>
      <c r="H52" s="11" t="s">
        <v>2255</v>
      </c>
      <c r="I52" s="11" t="n">
        <v>1158110</v>
      </c>
      <c r="J52" s="11" t="n">
        <v>3409</v>
      </c>
      <c r="K52" s="11" t="n">
        <v>380</v>
      </c>
      <c r="L52" s="11" t="s">
        <v>22</v>
      </c>
      <c r="M52" s="11" t="s">
        <v>2119</v>
      </c>
      <c r="N52" s="24" t="n">
        <v>45840</v>
      </c>
      <c r="O52" s="25" t="n">
        <f aca="false">INT((N52-D52)/365.25)</f>
        <v>28</v>
      </c>
      <c r="P52" s="12" t="s">
        <v>22</v>
      </c>
      <c r="Q52" s="12" t="s">
        <v>1483</v>
      </c>
    </row>
    <row r="53" customFormat="false" ht="15" hidden="false" customHeight="false" outlineLevel="0" collapsed="false">
      <c r="A53" s="51" t="n">
        <v>49</v>
      </c>
      <c r="B53" s="11" t="n">
        <v>851562</v>
      </c>
      <c r="C53" s="12" t="s">
        <v>2256</v>
      </c>
      <c r="D53" s="12" t="n">
        <v>36066</v>
      </c>
      <c r="E53" s="11" t="s">
        <v>1538</v>
      </c>
      <c r="F53" s="11" t="s">
        <v>160</v>
      </c>
      <c r="G53" s="11" t="s">
        <v>2257</v>
      </c>
      <c r="H53" s="11" t="s">
        <v>2258</v>
      </c>
      <c r="I53" s="11" t="n">
        <v>1378104</v>
      </c>
      <c r="J53" s="11" t="n">
        <v>6419</v>
      </c>
      <c r="K53" s="11"/>
      <c r="L53" s="11" t="s">
        <v>22</v>
      </c>
      <c r="M53" s="11" t="s">
        <v>2119</v>
      </c>
      <c r="N53" s="24" t="n">
        <v>45840</v>
      </c>
      <c r="O53" s="25" t="n">
        <f aca="false">INT((N53-D53)/365.25)</f>
        <v>26</v>
      </c>
      <c r="P53" s="12" t="s">
        <v>22</v>
      </c>
      <c r="Q53" s="12" t="s">
        <v>1483</v>
      </c>
    </row>
    <row r="54" customFormat="false" ht="15" hidden="false" customHeight="false" outlineLevel="0" collapsed="false">
      <c r="A54" s="51" t="n">
        <v>50</v>
      </c>
      <c r="B54" s="11" t="n">
        <v>872964</v>
      </c>
      <c r="C54" s="12" t="s">
        <v>2218</v>
      </c>
      <c r="D54" s="12" t="n">
        <v>38176</v>
      </c>
      <c r="E54" s="11" t="s">
        <v>1538</v>
      </c>
      <c r="F54" s="11" t="s">
        <v>160</v>
      </c>
      <c r="G54" s="11" t="s">
        <v>2219</v>
      </c>
      <c r="H54" s="11" t="n">
        <v>45205124</v>
      </c>
      <c r="I54" s="11" t="n">
        <v>1529486</v>
      </c>
      <c r="J54" s="11" t="n">
        <v>3430</v>
      </c>
      <c r="K54" s="11"/>
      <c r="L54" s="11" t="s">
        <v>30</v>
      </c>
      <c r="M54" s="11" t="s">
        <v>2119</v>
      </c>
      <c r="N54" s="24" t="n">
        <v>45840</v>
      </c>
      <c r="O54" s="25" t="n">
        <f aca="false">INT((N54-D54)/365.25)</f>
        <v>20</v>
      </c>
      <c r="P54" s="12" t="s">
        <v>22</v>
      </c>
      <c r="Q54" s="12"/>
    </row>
  </sheetData>
  <autoFilter ref="C1:C54"/>
  <mergeCells count="1">
    <mergeCell ref="A1:Q2"/>
  </mergeCells>
  <conditionalFormatting sqref="O5:O54">
    <cfRule type="colorScale" priority="2">
      <colorScale>
        <cfvo type="num" val="17"/>
        <cfvo type="num" val="18"/>
        <color rgb="FFFF0000"/>
        <color rgb="FF92D050"/>
      </colorScale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6.29"/>
    <col collapsed="false" customWidth="true" hidden="false" outlineLevel="0" max="3" min="3" style="0" width="33.86"/>
    <col collapsed="false" customWidth="true" hidden="false" outlineLevel="0" max="4" min="4" style="0" width="9"/>
    <col collapsed="false" customWidth="true" hidden="false" outlineLevel="0" max="5" min="5" style="0" width="15.86"/>
    <col collapsed="false" customWidth="true" hidden="false" outlineLevel="0" max="6" min="6" style="0" width="6.43"/>
    <col collapsed="false" customWidth="true" hidden="false" outlineLevel="0" max="7" min="7" style="0" width="11.86"/>
    <col collapsed="false" customWidth="true" hidden="false" outlineLevel="0" max="8" min="8" style="0" width="12.72"/>
    <col collapsed="false" customWidth="true" hidden="false" outlineLevel="0" max="9" min="9" style="0" width="9.57"/>
    <col collapsed="false" customWidth="true" hidden="false" outlineLevel="0" max="10" min="10" style="0" width="5"/>
    <col collapsed="false" customWidth="true" hidden="false" outlineLevel="0" max="11" min="11" style="0" width="5.29"/>
    <col collapsed="false" customWidth="true" hidden="false" outlineLevel="0" max="12" min="12" style="0" width="16.29"/>
    <col collapsed="false" customWidth="true" hidden="false" outlineLevel="0" max="13" min="13" style="0" width="9.29"/>
    <col collapsed="false" customWidth="true" hidden="false" outlineLevel="0" max="14" min="14" style="0" width="4.57"/>
    <col collapsed="false" customWidth="true" hidden="false" outlineLevel="0" max="15" min="15" style="0" width="6.29"/>
  </cols>
  <sheetData>
    <row r="1" customFormat="false" ht="15" hidden="false" customHeight="false" outlineLevel="0" collapsed="false">
      <c r="A1" s="18" t="s">
        <v>2293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customFormat="false" ht="15" hidden="false" customHeight="false" outlineLevel="0" collapsed="false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customFormat="false" ht="15" hidden="false" customHeight="false" outlineLevel="0" collapsed="false">
      <c r="A3" s="19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20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16</v>
      </c>
    </row>
    <row r="4" customFormat="false" ht="15" hidden="false" customHeight="false" outlineLevel="0" collapsed="false">
      <c r="A4" s="21"/>
      <c r="B4" s="2"/>
      <c r="C4" s="6" t="s">
        <v>2294</v>
      </c>
      <c r="D4" s="7"/>
      <c r="E4" s="2"/>
      <c r="F4" s="2"/>
      <c r="G4" s="2"/>
      <c r="H4" s="2"/>
      <c r="I4" s="2"/>
      <c r="J4" s="2"/>
      <c r="K4" s="2"/>
      <c r="L4" s="8"/>
      <c r="M4" s="22"/>
      <c r="N4" s="6"/>
      <c r="O4" s="6"/>
    </row>
    <row r="5" customFormat="false" ht="15" hidden="false" customHeight="false" outlineLevel="0" collapsed="false">
      <c r="A5" s="23" t="n">
        <v>1</v>
      </c>
      <c r="B5" s="10" t="n">
        <v>853847</v>
      </c>
      <c r="C5" s="11" t="s">
        <v>2295</v>
      </c>
      <c r="D5" s="12" t="n">
        <v>32414</v>
      </c>
      <c r="E5" s="11" t="s">
        <v>104</v>
      </c>
      <c r="F5" s="11" t="s">
        <v>19</v>
      </c>
      <c r="G5" s="11" t="s">
        <v>2296</v>
      </c>
      <c r="H5" s="11" t="s">
        <v>2297</v>
      </c>
      <c r="I5" s="11" t="n">
        <v>322104</v>
      </c>
      <c r="J5" s="11" t="n">
        <v>3350</v>
      </c>
      <c r="K5" s="11" t="s">
        <v>22</v>
      </c>
      <c r="L5" s="11" t="s">
        <v>2298</v>
      </c>
      <c r="M5" s="24" t="n">
        <v>45758</v>
      </c>
      <c r="N5" s="25" t="n">
        <f aca="false">INT((M5-D5)/365.25)</f>
        <v>36</v>
      </c>
      <c r="O5" s="12" t="s">
        <v>22</v>
      </c>
    </row>
  </sheetData>
  <mergeCells count="1">
    <mergeCell ref="A1:O2"/>
  </mergeCells>
  <conditionalFormatting sqref="N5">
    <cfRule type="colorScale" priority="2">
      <colorScale>
        <cfvo type="num" val="17"/>
        <cfvo type="num" val="18"/>
        <color rgb="FFFF0000"/>
        <color rgb="FF92D050"/>
      </colorScale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6.29"/>
    <col collapsed="false" customWidth="true" hidden="false" outlineLevel="0" max="3" min="3" style="0" width="33.86"/>
    <col collapsed="false" customWidth="true" hidden="false" outlineLevel="0" max="4" min="4" style="0" width="9"/>
    <col collapsed="false" customWidth="true" hidden="false" outlineLevel="0" max="5" min="5" style="0" width="15.86"/>
    <col collapsed="false" customWidth="true" hidden="false" outlineLevel="0" max="6" min="6" style="0" width="6.43"/>
    <col collapsed="false" customWidth="true" hidden="false" outlineLevel="0" max="7" min="7" style="0" width="11.86"/>
    <col collapsed="false" customWidth="true" hidden="false" outlineLevel="0" max="8" min="8" style="0" width="12.72"/>
    <col collapsed="false" customWidth="true" hidden="false" outlineLevel="0" max="9" min="9" style="0" width="9.57"/>
    <col collapsed="false" customWidth="true" hidden="false" outlineLevel="0" max="10" min="10" style="0" width="5"/>
    <col collapsed="false" customWidth="true" hidden="false" outlineLevel="0" max="11" min="11" style="0" width="5.29"/>
    <col collapsed="false" customWidth="true" hidden="false" outlineLevel="0" max="12" min="12" style="0" width="16.29"/>
    <col collapsed="false" customWidth="true" hidden="false" outlineLevel="0" max="13" min="13" style="0" width="9.29"/>
    <col collapsed="false" customWidth="true" hidden="false" outlineLevel="0" max="14" min="14" style="0" width="4.57"/>
    <col collapsed="false" customWidth="true" hidden="false" outlineLevel="0" max="15" min="15" style="0" width="6.29"/>
  </cols>
  <sheetData>
    <row r="1" customFormat="false" ht="15" hidden="false" customHeight="false" outlineLevel="0" collapsed="false">
      <c r="A1" s="18" t="s">
        <v>2299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customFormat="false" ht="15" hidden="false" customHeight="false" outlineLevel="0" collapsed="false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customFormat="false" ht="15" hidden="false" customHeight="false" outlineLevel="0" collapsed="false">
      <c r="A3" s="19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20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16</v>
      </c>
    </row>
    <row r="4" customFormat="false" ht="15" hidden="false" customHeight="false" outlineLevel="0" collapsed="false">
      <c r="A4" s="21"/>
      <c r="B4" s="2"/>
      <c r="C4" s="6" t="s">
        <v>2300</v>
      </c>
      <c r="D4" s="7"/>
      <c r="E4" s="2"/>
      <c r="F4" s="2"/>
      <c r="G4" s="2"/>
      <c r="H4" s="2"/>
      <c r="I4" s="2"/>
      <c r="J4" s="2"/>
      <c r="K4" s="2"/>
      <c r="L4" s="8"/>
      <c r="M4" s="22"/>
      <c r="N4" s="6"/>
      <c r="O4" s="6"/>
    </row>
    <row r="5" customFormat="false" ht="15" hidden="false" customHeight="false" outlineLevel="0" collapsed="false">
      <c r="A5" s="23" t="n">
        <v>1</v>
      </c>
      <c r="B5" s="10" t="n">
        <v>868241</v>
      </c>
      <c r="C5" s="17" t="s">
        <v>2301</v>
      </c>
      <c r="D5" s="12" t="n">
        <v>38494</v>
      </c>
      <c r="E5" s="11" t="s">
        <v>452</v>
      </c>
      <c r="F5" s="11" t="s">
        <v>165</v>
      </c>
      <c r="G5" s="11" t="s">
        <v>2302</v>
      </c>
      <c r="H5" s="11" t="n">
        <v>9070722</v>
      </c>
      <c r="I5" s="11" t="n">
        <v>655947</v>
      </c>
      <c r="J5" s="11" t="n">
        <v>9280</v>
      </c>
      <c r="K5" s="11" t="s">
        <v>22</v>
      </c>
      <c r="L5" s="11" t="s">
        <v>929</v>
      </c>
      <c r="M5" s="24" t="n">
        <v>45748</v>
      </c>
      <c r="N5" s="25" t="n">
        <f aca="false">INT((M5-D5)/365.25)</f>
        <v>19</v>
      </c>
      <c r="O5" s="12" t="s">
        <v>22</v>
      </c>
    </row>
    <row r="6" customFormat="false" ht="15" hidden="false" customHeight="false" outlineLevel="0" collapsed="false">
      <c r="A6" s="23" t="n">
        <v>2</v>
      </c>
      <c r="B6" s="10" t="n">
        <v>868242</v>
      </c>
      <c r="C6" s="17" t="s">
        <v>2303</v>
      </c>
      <c r="D6" s="12" t="n">
        <v>37574</v>
      </c>
      <c r="E6" s="11" t="s">
        <v>452</v>
      </c>
      <c r="F6" s="11" t="s">
        <v>165</v>
      </c>
      <c r="G6" s="11" t="s">
        <v>2304</v>
      </c>
      <c r="H6" s="11" t="n">
        <v>9070721</v>
      </c>
      <c r="I6" s="11" t="n">
        <v>655951</v>
      </c>
      <c r="J6" s="11" t="n">
        <v>5206</v>
      </c>
      <c r="K6" s="11" t="s">
        <v>22</v>
      </c>
      <c r="L6" s="11" t="s">
        <v>929</v>
      </c>
      <c r="M6" s="24" t="n">
        <v>45748</v>
      </c>
      <c r="N6" s="25" t="n">
        <f aca="false">INT((M6-D6)/365.25)</f>
        <v>22</v>
      </c>
      <c r="O6" s="12" t="s">
        <v>22</v>
      </c>
    </row>
    <row r="7" customFormat="false" ht="15" hidden="false" customHeight="false" outlineLevel="0" collapsed="false">
      <c r="A7" s="23" t="n">
        <v>3</v>
      </c>
      <c r="B7" s="10" t="n">
        <v>818862</v>
      </c>
      <c r="C7" s="17" t="s">
        <v>2305</v>
      </c>
      <c r="D7" s="12" t="n">
        <v>29143</v>
      </c>
      <c r="E7" s="11" t="s">
        <v>452</v>
      </c>
      <c r="F7" s="11" t="s">
        <v>165</v>
      </c>
      <c r="G7" s="11" t="s">
        <v>2306</v>
      </c>
      <c r="H7" s="11" t="n">
        <v>5099531</v>
      </c>
      <c r="I7" s="11" t="n">
        <v>150039</v>
      </c>
      <c r="J7" s="11" t="n">
        <v>6206</v>
      </c>
      <c r="K7" s="11" t="s">
        <v>22</v>
      </c>
      <c r="L7" s="11" t="s">
        <v>929</v>
      </c>
      <c r="M7" s="24" t="n">
        <v>45748</v>
      </c>
      <c r="N7" s="25" t="n">
        <f aca="false">INT((M7-D7)/365.25)</f>
        <v>45</v>
      </c>
      <c r="O7" s="12" t="s">
        <v>22</v>
      </c>
    </row>
    <row r="8" customFormat="false" ht="15" hidden="false" customHeight="false" outlineLevel="0" collapsed="false">
      <c r="A8" s="23" t="n">
        <v>4</v>
      </c>
      <c r="B8" s="10" t="n">
        <v>865567</v>
      </c>
      <c r="C8" s="17" t="s">
        <v>2307</v>
      </c>
      <c r="D8" s="12" t="n">
        <v>32671</v>
      </c>
      <c r="E8" s="11" t="s">
        <v>452</v>
      </c>
      <c r="F8" s="11" t="s">
        <v>165</v>
      </c>
      <c r="G8" s="11" t="s">
        <v>2308</v>
      </c>
      <c r="H8" s="11" t="n">
        <v>22934715</v>
      </c>
      <c r="I8" s="11" t="n">
        <v>502766</v>
      </c>
      <c r="J8" s="11" t="n">
        <v>5571</v>
      </c>
      <c r="K8" s="11" t="s">
        <v>22</v>
      </c>
      <c r="L8" s="11" t="s">
        <v>929</v>
      </c>
      <c r="M8" s="24" t="n">
        <v>45748</v>
      </c>
      <c r="N8" s="25" t="n">
        <f aca="false">INT((M8-D8)/365.25)</f>
        <v>35</v>
      </c>
      <c r="O8" s="12" t="s">
        <v>22</v>
      </c>
    </row>
    <row r="9" customFormat="false" ht="15" hidden="false" customHeight="false" outlineLevel="0" collapsed="false">
      <c r="A9" s="23" t="n">
        <v>5</v>
      </c>
      <c r="B9" s="10" t="n">
        <v>868406</v>
      </c>
      <c r="C9" s="17" t="s">
        <v>2309</v>
      </c>
      <c r="D9" s="12" t="n">
        <v>34684</v>
      </c>
      <c r="E9" s="11" t="s">
        <v>452</v>
      </c>
      <c r="F9" s="11" t="s">
        <v>165</v>
      </c>
      <c r="G9" s="11" t="s">
        <v>2310</v>
      </c>
      <c r="H9" s="11" t="n">
        <v>7026541</v>
      </c>
      <c r="I9" s="11" t="n">
        <v>292560</v>
      </c>
      <c r="J9" s="11" t="n">
        <v>8264</v>
      </c>
      <c r="K9" s="11" t="s">
        <v>22</v>
      </c>
      <c r="L9" s="11" t="s">
        <v>929</v>
      </c>
      <c r="M9" s="24" t="n">
        <v>45748</v>
      </c>
      <c r="N9" s="25" t="n">
        <f aca="false">INT((M9-D9)/365.25)</f>
        <v>30</v>
      </c>
      <c r="O9" s="12" t="s">
        <v>22</v>
      </c>
    </row>
  </sheetData>
  <mergeCells count="1">
    <mergeCell ref="A1:O2"/>
  </mergeCells>
  <conditionalFormatting sqref="N5:N9">
    <cfRule type="colorScale" priority="2">
      <colorScale>
        <cfvo type="num" val="17"/>
        <cfvo type="num" val="18"/>
        <color rgb="FFFF0000"/>
        <color rgb="FF92D050"/>
      </colorScale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6.29"/>
    <col collapsed="false" customWidth="true" hidden="false" outlineLevel="0" max="3" min="3" style="0" width="33.86"/>
    <col collapsed="false" customWidth="true" hidden="false" outlineLevel="0" max="4" min="4" style="0" width="9"/>
    <col collapsed="false" customWidth="true" hidden="false" outlineLevel="0" max="5" min="5" style="0" width="15.86"/>
    <col collapsed="false" customWidth="true" hidden="false" outlineLevel="0" max="6" min="6" style="0" width="6.43"/>
    <col collapsed="false" customWidth="true" hidden="false" outlineLevel="0" max="7" min="7" style="0" width="11.86"/>
    <col collapsed="false" customWidth="true" hidden="false" outlineLevel="0" max="8" min="8" style="0" width="12.72"/>
    <col collapsed="false" customWidth="true" hidden="false" outlineLevel="0" max="9" min="9" style="0" width="9.57"/>
    <col collapsed="false" customWidth="true" hidden="false" outlineLevel="0" max="10" min="10" style="0" width="5"/>
    <col collapsed="false" customWidth="true" hidden="false" outlineLevel="0" max="11" min="11" style="0" width="5.29"/>
    <col collapsed="false" customWidth="true" hidden="false" outlineLevel="0" max="12" min="12" style="0" width="16.29"/>
    <col collapsed="false" customWidth="true" hidden="false" outlineLevel="0" max="13" min="13" style="0" width="9.29"/>
    <col collapsed="false" customWidth="true" hidden="false" outlineLevel="0" max="14" min="14" style="0" width="4.57"/>
    <col collapsed="false" customWidth="true" hidden="false" outlineLevel="0" max="15" min="15" style="0" width="6.29"/>
  </cols>
  <sheetData>
    <row r="1" customFormat="false" ht="15" hidden="false" customHeight="false" outlineLevel="0" collapsed="false">
      <c r="A1" s="18" t="s">
        <v>2299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customFormat="false" ht="15" hidden="false" customHeight="false" outlineLevel="0" collapsed="false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customFormat="false" ht="15" hidden="false" customHeight="false" outlineLevel="0" collapsed="false">
      <c r="A3" s="19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20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16</v>
      </c>
    </row>
    <row r="4" customFormat="false" ht="15" hidden="false" customHeight="false" outlineLevel="0" collapsed="false">
      <c r="A4" s="21"/>
      <c r="B4" s="2"/>
      <c r="C4" s="6" t="s">
        <v>2311</v>
      </c>
      <c r="D4" s="7"/>
      <c r="E4" s="2"/>
      <c r="F4" s="2"/>
      <c r="G4" s="2"/>
      <c r="H4" s="2"/>
      <c r="I4" s="2"/>
      <c r="J4" s="2"/>
      <c r="K4" s="2"/>
      <c r="L4" s="8"/>
      <c r="M4" s="22"/>
      <c r="N4" s="6"/>
      <c r="O4" s="6"/>
    </row>
    <row r="5" customFormat="false" ht="15" hidden="false" customHeight="false" outlineLevel="0" collapsed="false">
      <c r="A5" s="23" t="n">
        <v>1</v>
      </c>
      <c r="B5" s="10" t="n">
        <v>868362</v>
      </c>
      <c r="C5" s="11" t="s">
        <v>2312</v>
      </c>
      <c r="D5" s="12" t="n">
        <v>33767</v>
      </c>
      <c r="E5" s="11" t="s">
        <v>170</v>
      </c>
      <c r="F5" s="11" t="s">
        <v>151</v>
      </c>
      <c r="G5" s="11" t="s">
        <v>2313</v>
      </c>
      <c r="H5" s="11" t="n">
        <v>8748998</v>
      </c>
      <c r="I5" s="11" t="n">
        <v>994390</v>
      </c>
      <c r="J5" s="11" t="n">
        <v>4402</v>
      </c>
      <c r="K5" s="11" t="s">
        <v>22</v>
      </c>
      <c r="L5" s="57" t="n">
        <v>45748</v>
      </c>
      <c r="M5" s="24" t="n">
        <v>45748</v>
      </c>
      <c r="N5" s="25" t="n">
        <f aca="false">INT((M5-D5)/365.25)</f>
        <v>32</v>
      </c>
      <c r="O5" s="12" t="s">
        <v>22</v>
      </c>
    </row>
    <row r="6" customFormat="false" ht="15" hidden="false" customHeight="false" outlineLevel="0" collapsed="false">
      <c r="A6" s="23" t="n">
        <v>2</v>
      </c>
      <c r="B6" s="10" t="n">
        <v>868368</v>
      </c>
      <c r="C6" s="11" t="s">
        <v>2314</v>
      </c>
      <c r="D6" s="12" t="n">
        <v>38580</v>
      </c>
      <c r="E6" s="11" t="s">
        <v>170</v>
      </c>
      <c r="F6" s="11" t="s">
        <v>151</v>
      </c>
      <c r="G6" s="11" t="s">
        <v>2315</v>
      </c>
      <c r="H6" s="11" t="n">
        <v>9971783</v>
      </c>
      <c r="I6" s="11" t="n">
        <v>1177857</v>
      </c>
      <c r="J6" s="11" t="n">
        <v>3401</v>
      </c>
      <c r="K6" s="11" t="s">
        <v>22</v>
      </c>
      <c r="L6" s="57" t="n">
        <v>45748</v>
      </c>
      <c r="M6" s="24" t="n">
        <v>45748</v>
      </c>
      <c r="N6" s="25" t="n">
        <f aca="false">INT((M6-D6)/365.25)</f>
        <v>19</v>
      </c>
      <c r="O6" s="12" t="s">
        <v>22</v>
      </c>
    </row>
  </sheetData>
  <mergeCells count="1">
    <mergeCell ref="A1:O2"/>
  </mergeCells>
  <conditionalFormatting sqref="N5:N6">
    <cfRule type="colorScale" priority="2">
      <colorScale>
        <cfvo type="num" val="17"/>
        <cfvo type="num" val="18"/>
        <color rgb="FFFF0000"/>
        <color rgb="FF92D050"/>
      </colorScale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7.28"/>
    <col collapsed="false" customWidth="true" hidden="false" outlineLevel="0" max="3" min="3" style="0" width="35.86"/>
    <col collapsed="false" customWidth="true" hidden="false" outlineLevel="0" max="4" min="4" style="0" width="10.86"/>
    <col collapsed="false" customWidth="true" hidden="false" outlineLevel="0" max="5" min="5" style="0" width="16.43"/>
    <col collapsed="false" customWidth="true" hidden="false" outlineLevel="0" max="6" min="6" style="0" width="7.15"/>
    <col collapsed="false" customWidth="true" hidden="false" outlineLevel="0" max="7" min="7" style="0" width="11.86"/>
    <col collapsed="false" customWidth="true" hidden="false" outlineLevel="0" max="8" min="8" style="0" width="12.72"/>
    <col collapsed="false" customWidth="true" hidden="false" outlineLevel="0" max="9" min="9" style="0" width="8.29"/>
    <col collapsed="false" customWidth="true" hidden="false" outlineLevel="0" max="10" min="10" style="0" width="6.43"/>
    <col collapsed="false" customWidth="true" hidden="false" outlineLevel="0" max="11" min="11" style="0" width="7"/>
    <col collapsed="false" customWidth="true" hidden="false" outlineLevel="0" max="12" min="12" style="0" width="21.29"/>
    <col collapsed="false" customWidth="true" hidden="false" outlineLevel="0" max="13" min="13" style="0" width="9.29"/>
    <col collapsed="false" customWidth="true" hidden="false" outlineLevel="0" max="14" min="14" style="0" width="8"/>
    <col collapsed="false" customWidth="true" hidden="false" outlineLevel="0" max="15" min="15" style="0" width="9.14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15" hidden="false" customHeight="false" outlineLevel="0" collapsed="false">
      <c r="A3" s="19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20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</row>
    <row r="4" customFormat="false" ht="15" hidden="false" customHeight="false" outlineLevel="0" collapsed="false">
      <c r="A4" s="21"/>
      <c r="B4" s="2"/>
      <c r="C4" s="6" t="s">
        <v>840</v>
      </c>
      <c r="D4" s="7"/>
      <c r="E4" s="2"/>
      <c r="F4" s="2"/>
      <c r="G4" s="2"/>
      <c r="H4" s="2"/>
      <c r="I4" s="2"/>
      <c r="J4" s="2"/>
      <c r="K4" s="2"/>
      <c r="L4" s="8"/>
      <c r="M4" s="22"/>
      <c r="N4" s="6"/>
      <c r="O4" s="6" t="s">
        <v>16</v>
      </c>
    </row>
    <row r="5" customFormat="false" ht="15" hidden="false" customHeight="false" outlineLevel="0" collapsed="false">
      <c r="A5" s="21" t="n">
        <v>1</v>
      </c>
      <c r="B5" s="10" t="n">
        <v>635680</v>
      </c>
      <c r="C5" s="11" t="s">
        <v>2316</v>
      </c>
      <c r="D5" s="12" t="n">
        <v>31226</v>
      </c>
      <c r="E5" s="11"/>
      <c r="F5" s="11"/>
      <c r="G5" s="11" t="s">
        <v>2317</v>
      </c>
      <c r="H5" s="11" t="s">
        <v>2318</v>
      </c>
      <c r="I5" s="11" t="n">
        <v>167907</v>
      </c>
      <c r="J5" s="11" t="n">
        <v>9301</v>
      </c>
      <c r="K5" s="11" t="s">
        <v>22</v>
      </c>
      <c r="L5" s="11" t="s">
        <v>23</v>
      </c>
      <c r="M5" s="24" t="n">
        <v>45695</v>
      </c>
      <c r="N5" s="25" t="n">
        <f aca="false">INT((M5-D5)/365.25)</f>
        <v>39</v>
      </c>
      <c r="O5" s="12" t="s">
        <v>22</v>
      </c>
    </row>
  </sheetData>
  <mergeCells count="1">
    <mergeCell ref="A1:O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4" activeCellId="0" sqref="D24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2.57"/>
    <col collapsed="false" customWidth="true" hidden="false" outlineLevel="0" max="2" min="2" style="0" width="6.14"/>
    <col collapsed="false" customWidth="true" hidden="false" outlineLevel="0" max="3" min="3" style="0" width="34.43"/>
    <col collapsed="false" customWidth="true" hidden="false" outlineLevel="0" max="5" min="5" style="0" width="15.43"/>
    <col collapsed="false" customWidth="true" hidden="false" outlineLevel="0" max="7" min="7" style="0" width="11.86"/>
    <col collapsed="false" customWidth="true" hidden="false" outlineLevel="0" max="8" min="8" style="0" width="10.29"/>
    <col collapsed="false" customWidth="true" hidden="false" outlineLevel="0" max="10" min="10" style="0" width="7"/>
    <col collapsed="false" customWidth="true" hidden="false" outlineLevel="0" max="11" min="11" style="0" width="6.29"/>
    <col collapsed="false" customWidth="true" hidden="false" outlineLevel="0" max="12" min="12" style="0" width="20.29"/>
  </cols>
  <sheetData>
    <row r="1" customFormat="false" ht="15" hidden="false" customHeight="false" outlineLevel="0" collapsed="false">
      <c r="A1" s="66" t="s">
        <v>2319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</row>
    <row r="2" customFormat="false" ht="15" hidden="false" customHeight="false" outlineLevel="0" collapsed="false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</row>
    <row r="3" customFormat="false" ht="15" hidden="false" customHeight="false" outlineLevel="0" collapsed="false">
      <c r="A3" s="2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20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</row>
    <row r="4" customFormat="false" ht="15" hidden="false" customHeight="false" outlineLevel="0" collapsed="false">
      <c r="A4" s="5"/>
      <c r="B4" s="6"/>
      <c r="C4" s="6" t="s">
        <v>2320</v>
      </c>
      <c r="D4" s="22"/>
      <c r="E4" s="6"/>
      <c r="F4" s="6"/>
      <c r="G4" s="6"/>
      <c r="H4" s="6"/>
      <c r="I4" s="6"/>
      <c r="J4" s="6"/>
      <c r="K4" s="6"/>
      <c r="L4" s="67"/>
      <c r="M4" s="22"/>
      <c r="N4" s="6"/>
      <c r="O4" s="6" t="s">
        <v>16</v>
      </c>
    </row>
    <row r="5" customFormat="false" ht="15" hidden="false" customHeight="false" outlineLevel="0" collapsed="false">
      <c r="A5" s="68" t="n">
        <v>1</v>
      </c>
      <c r="B5" s="11" t="n">
        <v>865889</v>
      </c>
      <c r="C5" s="11" t="s">
        <v>2321</v>
      </c>
      <c r="D5" s="12" t="n">
        <v>37992</v>
      </c>
      <c r="E5" s="11" t="s">
        <v>2322</v>
      </c>
      <c r="F5" s="11" t="s">
        <v>1737</v>
      </c>
      <c r="G5" s="11" t="s">
        <v>2323</v>
      </c>
      <c r="H5" s="11" t="n">
        <v>8249616</v>
      </c>
      <c r="I5" s="11" t="n">
        <v>1111557</v>
      </c>
      <c r="J5" s="11" t="n">
        <v>390</v>
      </c>
      <c r="K5" s="11" t="s">
        <v>22</v>
      </c>
      <c r="L5" s="11" t="s">
        <v>2324</v>
      </c>
      <c r="M5" s="13" t="n">
        <v>45692</v>
      </c>
      <c r="N5" s="14" t="n">
        <f aca="false">INT((M5-D5)/365.25)</f>
        <v>21</v>
      </c>
      <c r="O5" s="15" t="s">
        <v>30</v>
      </c>
    </row>
    <row r="6" customFormat="false" ht="15" hidden="false" customHeight="false" outlineLevel="0" collapsed="false">
      <c r="A6" s="68" t="n">
        <v>2</v>
      </c>
      <c r="B6" s="11" t="n">
        <v>834435</v>
      </c>
      <c r="C6" s="11" t="s">
        <v>2325</v>
      </c>
      <c r="D6" s="12" t="n">
        <v>35553</v>
      </c>
      <c r="E6" s="11" t="s">
        <v>2322</v>
      </c>
      <c r="F6" s="11" t="s">
        <v>1737</v>
      </c>
      <c r="G6" s="11" t="s">
        <v>2326</v>
      </c>
      <c r="H6" s="11" t="n">
        <v>4476204</v>
      </c>
      <c r="I6" s="11" t="n">
        <v>1166939</v>
      </c>
      <c r="J6" s="11" t="n">
        <v>4377</v>
      </c>
      <c r="K6" s="11" t="s">
        <v>22</v>
      </c>
      <c r="L6" s="11" t="s">
        <v>2324</v>
      </c>
      <c r="M6" s="13" t="n">
        <v>45692</v>
      </c>
      <c r="N6" s="14" t="n">
        <f aca="false">INT((M6-D6)/365.25)</f>
        <v>27</v>
      </c>
      <c r="O6" s="15" t="s">
        <v>22</v>
      </c>
    </row>
    <row r="7" customFormat="false" ht="15" hidden="false" customHeight="false" outlineLevel="0" collapsed="false">
      <c r="A7" s="68" t="n">
        <v>3</v>
      </c>
      <c r="B7" s="11" t="n">
        <v>267995</v>
      </c>
      <c r="C7" s="11" t="s">
        <v>2327</v>
      </c>
      <c r="D7" s="12" t="n">
        <v>31458</v>
      </c>
      <c r="E7" s="11" t="s">
        <v>2322</v>
      </c>
      <c r="F7" s="11" t="s">
        <v>1737</v>
      </c>
      <c r="G7" s="15" t="s">
        <v>2328</v>
      </c>
      <c r="H7" s="11" t="n">
        <v>2484178</v>
      </c>
      <c r="I7" s="11" t="n">
        <v>213893</v>
      </c>
      <c r="J7" s="11" t="n">
        <v>6310</v>
      </c>
      <c r="K7" s="11" t="s">
        <v>22</v>
      </c>
      <c r="L7" s="11" t="s">
        <v>2324</v>
      </c>
      <c r="M7" s="13" t="n">
        <v>45692</v>
      </c>
      <c r="N7" s="14" t="n">
        <f aca="false">INT((M7-D7)/365.25)</f>
        <v>38</v>
      </c>
      <c r="O7" s="15" t="s">
        <v>22</v>
      </c>
    </row>
    <row r="8" customFormat="false" ht="15" hidden="false" customHeight="false" outlineLevel="0" collapsed="false">
      <c r="A8" s="68" t="n">
        <v>4</v>
      </c>
      <c r="B8" s="11" t="n">
        <v>865911</v>
      </c>
      <c r="C8" s="11" t="s">
        <v>2329</v>
      </c>
      <c r="D8" s="12" t="n">
        <v>35370</v>
      </c>
      <c r="E8" s="11" t="s">
        <v>2322</v>
      </c>
      <c r="F8" s="11" t="s">
        <v>1737</v>
      </c>
      <c r="G8" s="11" t="s">
        <v>2330</v>
      </c>
      <c r="H8" s="11" t="n">
        <v>3750842</v>
      </c>
      <c r="I8" s="11" t="n">
        <v>682157</v>
      </c>
      <c r="J8" s="11" t="n">
        <v>6351</v>
      </c>
      <c r="K8" s="11" t="s">
        <v>22</v>
      </c>
      <c r="L8" s="11" t="s">
        <v>2324</v>
      </c>
      <c r="M8" s="13" t="n">
        <v>45692</v>
      </c>
      <c r="N8" s="14" t="n">
        <f aca="false">INT((M8-D8)/365.25)</f>
        <v>28</v>
      </c>
      <c r="O8" s="15" t="s">
        <v>22</v>
      </c>
    </row>
    <row r="9" customFormat="false" ht="15" hidden="false" customHeight="false" outlineLevel="0" collapsed="false">
      <c r="A9" s="68" t="n">
        <v>5</v>
      </c>
      <c r="B9" s="11" t="n">
        <v>865885</v>
      </c>
      <c r="C9" s="11" t="s">
        <v>2331</v>
      </c>
      <c r="D9" s="12" t="n">
        <v>37539</v>
      </c>
      <c r="E9" s="11" t="s">
        <v>2322</v>
      </c>
      <c r="F9" s="11" t="s">
        <v>1737</v>
      </c>
      <c r="G9" s="11" t="s">
        <v>2332</v>
      </c>
      <c r="H9" s="11" t="n">
        <v>8245298</v>
      </c>
      <c r="I9" s="11" t="n">
        <v>851005</v>
      </c>
      <c r="J9" s="11" t="n">
        <v>8377</v>
      </c>
      <c r="K9" s="11" t="s">
        <v>22</v>
      </c>
      <c r="L9" s="11" t="s">
        <v>2324</v>
      </c>
      <c r="M9" s="13" t="n">
        <v>45692</v>
      </c>
      <c r="N9" s="14" t="n">
        <f aca="false">INT((M9-D9)/365.25)</f>
        <v>22</v>
      </c>
      <c r="O9" s="15" t="s">
        <v>22</v>
      </c>
    </row>
    <row r="10" customFormat="false" ht="15" hidden="false" customHeight="false" outlineLevel="0" collapsed="false">
      <c r="A10" s="68" t="n">
        <v>6</v>
      </c>
      <c r="B10" s="11" t="n">
        <v>865898</v>
      </c>
      <c r="C10" s="11" t="s">
        <v>2333</v>
      </c>
      <c r="D10" s="12" t="n">
        <v>38288</v>
      </c>
      <c r="E10" s="11" t="s">
        <v>2322</v>
      </c>
      <c r="F10" s="11" t="s">
        <v>1737</v>
      </c>
      <c r="G10" s="11" t="s">
        <v>2334</v>
      </c>
      <c r="H10" s="11" t="s">
        <v>2335</v>
      </c>
      <c r="I10" s="11" t="n">
        <v>349164</v>
      </c>
      <c r="J10" s="11" t="n">
        <v>4367</v>
      </c>
      <c r="K10" s="11" t="s">
        <v>22</v>
      </c>
      <c r="L10" s="11" t="s">
        <v>2324</v>
      </c>
      <c r="M10" s="13" t="n">
        <v>45692</v>
      </c>
      <c r="N10" s="14" t="n">
        <f aca="false">INT((M10-D10)/365.25)</f>
        <v>20</v>
      </c>
      <c r="O10" s="15" t="s">
        <v>30</v>
      </c>
    </row>
    <row r="11" customFormat="false" ht="15" hidden="false" customHeight="false" outlineLevel="0" collapsed="false">
      <c r="A11" s="68" t="n">
        <v>7</v>
      </c>
      <c r="B11" s="11" t="n">
        <v>842017</v>
      </c>
      <c r="C11" s="11" t="s">
        <v>2336</v>
      </c>
      <c r="D11" s="12" t="n">
        <v>36347</v>
      </c>
      <c r="E11" s="11" t="s">
        <v>2322</v>
      </c>
      <c r="F11" s="11" t="s">
        <v>1737</v>
      </c>
      <c r="G11" s="11" t="s">
        <v>2337</v>
      </c>
      <c r="H11" s="15" t="n">
        <v>4369340</v>
      </c>
      <c r="I11" s="11" t="n">
        <v>9336263</v>
      </c>
      <c r="J11" s="11" t="n">
        <v>50</v>
      </c>
      <c r="K11" s="11" t="s">
        <v>22</v>
      </c>
      <c r="L11" s="11" t="s">
        <v>2324</v>
      </c>
      <c r="M11" s="13" t="n">
        <v>45692</v>
      </c>
      <c r="N11" s="14" t="n">
        <f aca="false">INT((M11-D11)/365.25)</f>
        <v>25</v>
      </c>
      <c r="O11" s="15" t="s">
        <v>22</v>
      </c>
    </row>
    <row r="12" customFormat="false" ht="15" hidden="false" customHeight="false" outlineLevel="0" collapsed="false">
      <c r="A12" s="68" t="n">
        <v>8</v>
      </c>
      <c r="B12" s="11" t="n">
        <v>865884</v>
      </c>
      <c r="C12" s="11" t="s">
        <v>2338</v>
      </c>
      <c r="D12" s="12" t="n">
        <v>35941</v>
      </c>
      <c r="E12" s="11" t="s">
        <v>2322</v>
      </c>
      <c r="F12" s="11" t="s">
        <v>1737</v>
      </c>
      <c r="G12" s="11" t="s">
        <v>2339</v>
      </c>
      <c r="H12" s="11" t="n">
        <v>4462516</v>
      </c>
      <c r="I12" s="11" t="n">
        <v>9336262</v>
      </c>
      <c r="J12" s="11" t="n">
        <v>50</v>
      </c>
      <c r="K12" s="11" t="s">
        <v>30</v>
      </c>
      <c r="L12" s="11" t="s">
        <v>2324</v>
      </c>
      <c r="M12" s="13" t="n">
        <v>45692</v>
      </c>
      <c r="N12" s="14" t="n">
        <f aca="false">INT((M12-D12)/365.25)</f>
        <v>26</v>
      </c>
      <c r="O12" s="15" t="s">
        <v>22</v>
      </c>
    </row>
    <row r="13" customFormat="false" ht="15" hidden="false" customHeight="false" outlineLevel="0" collapsed="false">
      <c r="A13" s="68" t="n">
        <v>9</v>
      </c>
      <c r="B13" s="11" t="n">
        <v>578120</v>
      </c>
      <c r="C13" s="11" t="s">
        <v>2340</v>
      </c>
      <c r="D13" s="12" t="n">
        <v>33933</v>
      </c>
      <c r="E13" s="11" t="s">
        <v>2322</v>
      </c>
      <c r="F13" s="11" t="s">
        <v>1737</v>
      </c>
      <c r="G13" s="11" t="s">
        <v>2341</v>
      </c>
      <c r="H13" s="11" t="s">
        <v>2342</v>
      </c>
      <c r="I13" s="11" t="n">
        <v>13881</v>
      </c>
      <c r="J13" s="11" t="n">
        <v>29</v>
      </c>
      <c r="K13" s="11" t="s">
        <v>22</v>
      </c>
      <c r="L13" s="11" t="s">
        <v>2324</v>
      </c>
      <c r="M13" s="13" t="n">
        <v>45692</v>
      </c>
      <c r="N13" s="14" t="n">
        <f aca="false">INT((M13-D13)/365.25)</f>
        <v>32</v>
      </c>
      <c r="O13" s="15" t="s">
        <v>22</v>
      </c>
    </row>
    <row r="14" customFormat="false" ht="15" hidden="false" customHeight="false" outlineLevel="0" collapsed="false">
      <c r="A14" s="68" t="n">
        <v>10</v>
      </c>
      <c r="B14" s="11" t="n">
        <v>865895</v>
      </c>
      <c r="C14" s="11" t="s">
        <v>2343</v>
      </c>
      <c r="D14" s="12" t="n">
        <v>38369</v>
      </c>
      <c r="E14" s="11" t="s">
        <v>2322</v>
      </c>
      <c r="F14" s="11" t="s">
        <v>1737</v>
      </c>
      <c r="G14" s="11" t="s">
        <v>2344</v>
      </c>
      <c r="H14" s="11" t="s">
        <v>2345</v>
      </c>
      <c r="I14" s="11" t="n">
        <v>521971</v>
      </c>
      <c r="J14" s="11" t="n">
        <v>1369</v>
      </c>
      <c r="K14" s="11" t="s">
        <v>22</v>
      </c>
      <c r="L14" s="11" t="s">
        <v>2324</v>
      </c>
      <c r="M14" s="13" t="n">
        <v>45692</v>
      </c>
      <c r="N14" s="14" t="n">
        <f aca="false">INT((M14-D14)/365.25)</f>
        <v>20</v>
      </c>
      <c r="O14" s="15" t="s">
        <v>30</v>
      </c>
    </row>
    <row r="15" customFormat="false" ht="15" hidden="false" customHeight="false" outlineLevel="0" collapsed="false">
      <c r="A15" s="68" t="n">
        <v>11</v>
      </c>
      <c r="B15" s="11" t="n">
        <v>865914</v>
      </c>
      <c r="C15" s="11" t="s">
        <v>2346</v>
      </c>
      <c r="D15" s="12" t="n">
        <v>36580</v>
      </c>
      <c r="E15" s="11" t="s">
        <v>2322</v>
      </c>
      <c r="F15" s="11" t="s">
        <v>1737</v>
      </c>
      <c r="G15" s="11" t="s">
        <v>2347</v>
      </c>
      <c r="H15" s="11" t="n">
        <v>4457323</v>
      </c>
      <c r="I15" s="11" t="n">
        <v>1200400</v>
      </c>
      <c r="J15" s="11" t="n">
        <v>60</v>
      </c>
      <c r="K15" s="11" t="s">
        <v>30</v>
      </c>
      <c r="L15" s="11" t="s">
        <v>2324</v>
      </c>
      <c r="M15" s="13" t="n">
        <v>45692</v>
      </c>
      <c r="N15" s="14" t="n">
        <f aca="false">INT((M15-D15)/365.25)</f>
        <v>24</v>
      </c>
      <c r="O15" s="15" t="s">
        <v>22</v>
      </c>
    </row>
    <row r="16" customFormat="false" ht="15" hidden="false" customHeight="false" outlineLevel="0" collapsed="false">
      <c r="A16" s="68" t="n">
        <v>12</v>
      </c>
      <c r="B16" s="11" t="n">
        <v>865887</v>
      </c>
      <c r="C16" s="11" t="s">
        <v>2348</v>
      </c>
      <c r="D16" s="12" t="n">
        <v>33603</v>
      </c>
      <c r="E16" s="11" t="s">
        <v>2322</v>
      </c>
      <c r="F16" s="11" t="s">
        <v>1737</v>
      </c>
      <c r="G16" s="11" t="s">
        <v>2349</v>
      </c>
      <c r="H16" s="11" t="n">
        <v>3748440</v>
      </c>
      <c r="I16" s="11" t="n">
        <v>20909</v>
      </c>
      <c r="J16" s="11" t="n">
        <v>32</v>
      </c>
      <c r="K16" s="11" t="s">
        <v>22</v>
      </c>
      <c r="L16" s="11" t="s">
        <v>2324</v>
      </c>
      <c r="M16" s="13" t="n">
        <v>45692</v>
      </c>
      <c r="N16" s="14" t="n">
        <f aca="false">INT((M16-D16)/365.25)</f>
        <v>33</v>
      </c>
      <c r="O16" s="15" t="s">
        <v>30</v>
      </c>
    </row>
    <row r="17" customFormat="false" ht="15" hidden="false" customHeight="false" outlineLevel="0" collapsed="false">
      <c r="A17" s="68" t="n">
        <v>13</v>
      </c>
      <c r="B17" s="11" t="n">
        <v>865892</v>
      </c>
      <c r="C17" s="11" t="s">
        <v>2350</v>
      </c>
      <c r="D17" s="12" t="n">
        <v>35375</v>
      </c>
      <c r="E17" s="11" t="s">
        <v>2322</v>
      </c>
      <c r="F17" s="11" t="s">
        <v>1737</v>
      </c>
      <c r="G17" s="11" t="s">
        <v>2351</v>
      </c>
      <c r="H17" s="11" t="n">
        <v>4215757</v>
      </c>
      <c r="I17" s="11" t="n">
        <v>38430</v>
      </c>
      <c r="J17" s="11" t="n">
        <v>363</v>
      </c>
      <c r="K17" s="11" t="s">
        <v>22</v>
      </c>
      <c r="L17" s="11" t="s">
        <v>2324</v>
      </c>
      <c r="M17" s="13" t="n">
        <v>45692</v>
      </c>
      <c r="N17" s="14" t="n">
        <f aca="false">INT((M17-D17)/365.25)</f>
        <v>28</v>
      </c>
      <c r="O17" s="15" t="s">
        <v>22</v>
      </c>
    </row>
    <row r="18" customFormat="false" ht="15" hidden="false" customHeight="false" outlineLevel="0" collapsed="false">
      <c r="A18" s="68" t="n">
        <v>14</v>
      </c>
      <c r="B18" s="11" t="n">
        <v>865909</v>
      </c>
      <c r="C18" s="11" t="s">
        <v>2352</v>
      </c>
      <c r="D18" s="12" t="n">
        <v>37569</v>
      </c>
      <c r="E18" s="11" t="s">
        <v>2322</v>
      </c>
      <c r="F18" s="11" t="s">
        <v>1737</v>
      </c>
      <c r="G18" s="11" t="s">
        <v>2353</v>
      </c>
      <c r="H18" s="11" t="n">
        <v>8156394</v>
      </c>
      <c r="I18" s="11" t="n">
        <v>868191</v>
      </c>
      <c r="J18" s="11" t="n">
        <v>3379</v>
      </c>
      <c r="K18" s="11" t="s">
        <v>30</v>
      </c>
      <c r="L18" s="11" t="s">
        <v>2324</v>
      </c>
      <c r="M18" s="13" t="n">
        <v>45692</v>
      </c>
      <c r="N18" s="14" t="n">
        <f aca="false">INT((M18-D18)/365.25)</f>
        <v>22</v>
      </c>
      <c r="O18" s="15" t="s">
        <v>30</v>
      </c>
    </row>
    <row r="19" customFormat="false" ht="15" hidden="false" customHeight="false" outlineLevel="0" collapsed="false">
      <c r="A19" s="68" t="n">
        <v>15</v>
      </c>
      <c r="B19" s="11" t="n">
        <v>865901</v>
      </c>
      <c r="C19" s="11" t="s">
        <v>2354</v>
      </c>
      <c r="D19" s="12" t="n">
        <v>37788</v>
      </c>
      <c r="E19" s="11" t="s">
        <v>2322</v>
      </c>
      <c r="F19" s="11" t="s">
        <v>1737</v>
      </c>
      <c r="G19" s="11" t="s">
        <v>2355</v>
      </c>
      <c r="H19" s="11" t="n">
        <v>8258690</v>
      </c>
      <c r="I19" s="11" t="n">
        <v>1147971</v>
      </c>
      <c r="J19" s="11" t="n">
        <v>2345</v>
      </c>
      <c r="K19" s="11" t="s">
        <v>30</v>
      </c>
      <c r="L19" s="11" t="s">
        <v>2324</v>
      </c>
      <c r="M19" s="13" t="n">
        <v>45692</v>
      </c>
      <c r="N19" s="14" t="n">
        <f aca="false">INT((M19-D19)/365.25)</f>
        <v>21</v>
      </c>
      <c r="O19" s="15" t="s">
        <v>22</v>
      </c>
    </row>
    <row r="20" customFormat="false" ht="15" hidden="false" customHeight="false" outlineLevel="0" collapsed="false">
      <c r="A20" s="68" t="n">
        <v>16</v>
      </c>
      <c r="B20" s="11" t="n">
        <v>663010</v>
      </c>
      <c r="C20" s="11" t="s">
        <v>2356</v>
      </c>
      <c r="D20" s="12" t="n">
        <v>33669</v>
      </c>
      <c r="E20" s="11" t="s">
        <v>2322</v>
      </c>
      <c r="F20" s="11" t="s">
        <v>1737</v>
      </c>
      <c r="G20" s="11" t="s">
        <v>2357</v>
      </c>
      <c r="H20" s="11" t="n">
        <v>3619743</v>
      </c>
      <c r="I20" s="11" t="n">
        <v>223</v>
      </c>
      <c r="J20" s="11" t="n">
        <v>28</v>
      </c>
      <c r="K20" s="11" t="s">
        <v>22</v>
      </c>
      <c r="L20" s="11" t="s">
        <v>2324</v>
      </c>
      <c r="M20" s="13" t="n">
        <v>45692</v>
      </c>
      <c r="N20" s="14" t="n">
        <f aca="false">INT((M20-D20)/365.25)</f>
        <v>32</v>
      </c>
      <c r="O20" s="15" t="s">
        <v>22</v>
      </c>
    </row>
    <row r="21" customFormat="false" ht="15" hidden="false" customHeight="false" outlineLevel="0" collapsed="false">
      <c r="A21" s="68" t="n">
        <v>17</v>
      </c>
      <c r="B21" s="11" t="n">
        <v>842794</v>
      </c>
      <c r="C21" s="11" t="s">
        <v>2358</v>
      </c>
      <c r="D21" s="12" t="n">
        <v>35044</v>
      </c>
      <c r="E21" s="11" t="s">
        <v>2322</v>
      </c>
      <c r="F21" s="11" t="s">
        <v>1737</v>
      </c>
      <c r="G21" s="11" t="s">
        <v>2359</v>
      </c>
      <c r="H21" s="11" t="s">
        <v>2360</v>
      </c>
      <c r="I21" s="11" t="n">
        <v>77562</v>
      </c>
      <c r="J21" s="11" t="n">
        <v>30</v>
      </c>
      <c r="K21" s="11" t="s">
        <v>22</v>
      </c>
      <c r="L21" s="11" t="s">
        <v>2324</v>
      </c>
      <c r="M21" s="13" t="n">
        <v>45692</v>
      </c>
      <c r="N21" s="14" t="n">
        <f aca="false">INT((M21-D21)/365.25)</f>
        <v>29</v>
      </c>
      <c r="O21" s="15" t="s">
        <v>22</v>
      </c>
    </row>
    <row r="22" customFormat="false" ht="15" hidden="false" customHeight="false" outlineLevel="0" collapsed="false">
      <c r="A22" s="68" t="n">
        <v>18</v>
      </c>
      <c r="B22" s="11" t="n">
        <v>865890</v>
      </c>
      <c r="C22" s="11" t="s">
        <v>2361</v>
      </c>
      <c r="D22" s="12" t="n">
        <v>36114</v>
      </c>
      <c r="E22" s="11" t="s">
        <v>2322</v>
      </c>
      <c r="F22" s="11" t="s">
        <v>1737</v>
      </c>
      <c r="G22" s="11" t="s">
        <v>2362</v>
      </c>
      <c r="H22" s="11" t="n">
        <v>4401859</v>
      </c>
      <c r="I22" s="11" t="n">
        <v>1196245</v>
      </c>
      <c r="J22" s="11" t="n">
        <v>60</v>
      </c>
      <c r="K22" s="11" t="s">
        <v>30</v>
      </c>
      <c r="L22" s="11" t="s">
        <v>2324</v>
      </c>
      <c r="M22" s="13" t="n">
        <v>45692</v>
      </c>
      <c r="N22" s="14" t="n">
        <f aca="false">INT((M22-D22)/365.25)</f>
        <v>26</v>
      </c>
      <c r="O22" s="15" t="s">
        <v>22</v>
      </c>
    </row>
    <row r="23" customFormat="false" ht="15" hidden="false" customHeight="false" outlineLevel="0" collapsed="false">
      <c r="A23" s="68" t="n">
        <v>19</v>
      </c>
      <c r="B23" s="11" t="n">
        <v>866105</v>
      </c>
      <c r="C23" s="11" t="s">
        <v>2363</v>
      </c>
      <c r="D23" s="12" t="n">
        <v>34869</v>
      </c>
      <c r="E23" s="11" t="s">
        <v>2322</v>
      </c>
      <c r="F23" s="11" t="s">
        <v>1737</v>
      </c>
      <c r="G23" s="11" t="s">
        <v>2364</v>
      </c>
      <c r="H23" s="11" t="n">
        <v>3702838</v>
      </c>
      <c r="I23" s="11" t="n">
        <v>47010</v>
      </c>
      <c r="J23" s="11" t="n">
        <v>23</v>
      </c>
      <c r="K23" s="11" t="s">
        <v>22</v>
      </c>
      <c r="L23" s="11" t="s">
        <v>2324</v>
      </c>
      <c r="M23" s="13" t="n">
        <v>45699</v>
      </c>
      <c r="N23" s="14" t="n">
        <f aca="false">INT((M23-D23)/365.25)</f>
        <v>29</v>
      </c>
      <c r="O23" s="15"/>
    </row>
    <row r="24" customFormat="false" ht="15" hidden="false" customHeight="false" outlineLevel="0" collapsed="false">
      <c r="A24" s="68" t="n">
        <v>20</v>
      </c>
      <c r="B24" s="11" t="n">
        <v>866109</v>
      </c>
      <c r="C24" s="11" t="s">
        <v>2365</v>
      </c>
      <c r="D24" s="12" t="n">
        <v>36755</v>
      </c>
      <c r="E24" s="11" t="s">
        <v>2322</v>
      </c>
      <c r="F24" s="11" t="s">
        <v>1737</v>
      </c>
      <c r="G24" s="11" t="s">
        <v>2366</v>
      </c>
      <c r="H24" s="11" t="n">
        <v>4325430</v>
      </c>
      <c r="I24" s="11" t="n">
        <v>7807253</v>
      </c>
      <c r="J24" s="11" t="n">
        <v>50</v>
      </c>
      <c r="K24" s="11" t="s">
        <v>30</v>
      </c>
      <c r="L24" s="11" t="s">
        <v>2324</v>
      </c>
      <c r="M24" s="13" t="n">
        <v>45699</v>
      </c>
      <c r="N24" s="14" t="n">
        <f aca="false">INT((M24-D24)/365.25)</f>
        <v>24</v>
      </c>
      <c r="O24" s="15"/>
    </row>
    <row r="25" customFormat="false" ht="15" hidden="false" customHeight="false" outlineLevel="0" collapsed="false">
      <c r="A25" s="68" t="n">
        <v>21</v>
      </c>
      <c r="B25" s="11" t="n">
        <v>825721</v>
      </c>
      <c r="C25" s="11" t="s">
        <v>2367</v>
      </c>
      <c r="D25" s="12" t="n">
        <v>35040</v>
      </c>
      <c r="E25" s="11" t="s">
        <v>2322</v>
      </c>
      <c r="F25" s="11" t="s">
        <v>1737</v>
      </c>
      <c r="G25" s="11" t="s">
        <v>2368</v>
      </c>
      <c r="H25" s="11" t="s">
        <v>2369</v>
      </c>
      <c r="I25" s="11" t="n">
        <v>589727</v>
      </c>
      <c r="J25" s="11" t="n">
        <v>8342</v>
      </c>
      <c r="K25" s="11" t="s">
        <v>30</v>
      </c>
      <c r="L25" s="11" t="s">
        <v>2324</v>
      </c>
      <c r="M25" s="13" t="n">
        <v>45699</v>
      </c>
      <c r="N25" s="14" t="n">
        <f aca="false">INT((M25-D25)/365.25)</f>
        <v>29</v>
      </c>
      <c r="O25" s="15"/>
    </row>
    <row r="26" customFormat="false" ht="15" hidden="false" customHeight="false" outlineLevel="0" collapsed="false">
      <c r="A26" s="68" t="n">
        <v>22</v>
      </c>
      <c r="B26" s="11" t="n">
        <v>256165</v>
      </c>
      <c r="C26" s="11" t="s">
        <v>2370</v>
      </c>
      <c r="D26" s="12" t="n">
        <v>32292</v>
      </c>
      <c r="E26" s="11" t="s">
        <v>2322</v>
      </c>
      <c r="F26" s="11" t="s">
        <v>1737</v>
      </c>
      <c r="G26" s="11" t="s">
        <v>2371</v>
      </c>
      <c r="H26" s="11" t="n">
        <v>3009881</v>
      </c>
      <c r="I26" s="11" t="n">
        <v>214893</v>
      </c>
      <c r="J26" s="11" t="n">
        <v>8398</v>
      </c>
      <c r="K26" s="11" t="s">
        <v>22</v>
      </c>
      <c r="L26" s="11" t="s">
        <v>2324</v>
      </c>
      <c r="M26" s="13" t="n">
        <v>45699</v>
      </c>
      <c r="N26" s="14" t="n">
        <f aca="false">INT((M26-D26)/365.25)</f>
        <v>36</v>
      </c>
      <c r="O26" s="15"/>
    </row>
    <row r="27" customFormat="false" ht="15" hidden="false" customHeight="false" outlineLevel="0" collapsed="false">
      <c r="A27" s="68" t="n">
        <v>23</v>
      </c>
      <c r="B27" s="11" t="n">
        <v>866111</v>
      </c>
      <c r="C27" s="11" t="s">
        <v>2372</v>
      </c>
      <c r="D27" s="12" t="n">
        <v>36891</v>
      </c>
      <c r="E27" s="11" t="s">
        <v>2322</v>
      </c>
      <c r="F27" s="11" t="s">
        <v>1737</v>
      </c>
      <c r="G27" s="11" t="s">
        <v>2373</v>
      </c>
      <c r="H27" s="11" t="n">
        <v>8195120</v>
      </c>
      <c r="I27" s="11" t="n">
        <v>4800855</v>
      </c>
      <c r="J27" s="11" t="n">
        <v>5866</v>
      </c>
      <c r="K27" s="11" t="s">
        <v>30</v>
      </c>
      <c r="L27" s="11" t="s">
        <v>2324</v>
      </c>
      <c r="M27" s="13" t="n">
        <v>45699</v>
      </c>
      <c r="N27" s="14" t="n">
        <f aca="false">INT((M27-D27)/365.25)</f>
        <v>24</v>
      </c>
      <c r="O27" s="15"/>
    </row>
    <row r="28" customFormat="false" ht="15" hidden="false" customHeight="false" outlineLevel="0" collapsed="false">
      <c r="A28" s="68" t="n">
        <v>24</v>
      </c>
      <c r="B28" s="11" t="n">
        <v>866112</v>
      </c>
      <c r="C28" s="11" t="s">
        <v>2374</v>
      </c>
      <c r="D28" s="12" t="n">
        <v>36297</v>
      </c>
      <c r="E28" s="11" t="s">
        <v>2322</v>
      </c>
      <c r="F28" s="11" t="s">
        <v>1737</v>
      </c>
      <c r="G28" s="11" t="s">
        <v>2375</v>
      </c>
      <c r="H28" s="11" t="n">
        <v>4124433</v>
      </c>
      <c r="I28" s="11" t="n">
        <v>769749</v>
      </c>
      <c r="J28" s="11" t="n">
        <v>9339</v>
      </c>
      <c r="K28" s="11" t="s">
        <v>22</v>
      </c>
      <c r="L28" s="11" t="s">
        <v>2324</v>
      </c>
      <c r="M28" s="13" t="n">
        <v>45699</v>
      </c>
      <c r="N28" s="14" t="n">
        <f aca="false">INT((M28-D28)/365.25)</f>
        <v>25</v>
      </c>
      <c r="O28" s="15"/>
    </row>
    <row r="29" customFormat="false" ht="15" hidden="false" customHeight="false" outlineLevel="0" collapsed="false">
      <c r="A29" s="68" t="n">
        <v>25</v>
      </c>
      <c r="B29" s="11" t="n">
        <v>866116</v>
      </c>
      <c r="C29" s="11" t="s">
        <v>2376</v>
      </c>
      <c r="D29" s="12" t="n">
        <v>37259</v>
      </c>
      <c r="E29" s="11" t="s">
        <v>2322</v>
      </c>
      <c r="F29" s="11" t="s">
        <v>1737</v>
      </c>
      <c r="G29" s="12" t="s">
        <v>2377</v>
      </c>
      <c r="H29" s="11" t="n">
        <v>4780264</v>
      </c>
      <c r="I29" s="11" t="n">
        <v>1196799</v>
      </c>
      <c r="J29" s="11" t="n">
        <v>60</v>
      </c>
      <c r="K29" s="11" t="s">
        <v>30</v>
      </c>
      <c r="L29" s="11" t="s">
        <v>2324</v>
      </c>
      <c r="M29" s="13" t="n">
        <v>45699</v>
      </c>
      <c r="N29" s="14" t="n">
        <f aca="false">INT((M29-D29)/365.25)</f>
        <v>23</v>
      </c>
      <c r="O29" s="15"/>
    </row>
  </sheetData>
  <mergeCells count="1">
    <mergeCell ref="A1:O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7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true"/>
  </sheetPr>
  <dimension ref="A1:P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16" activeCellId="0" sqref="D16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8.72"/>
    <col collapsed="false" customWidth="true" hidden="false" outlineLevel="0" max="3" min="3" style="0" width="32.86"/>
    <col collapsed="false" customWidth="true" hidden="false" outlineLevel="0" max="4" min="4" style="0" width="9"/>
    <col collapsed="false" customWidth="true" hidden="false" outlineLevel="0" max="5" min="5" style="0" width="21"/>
    <col collapsed="false" customWidth="true" hidden="false" outlineLevel="0" max="6" min="6" style="0" width="6.43"/>
    <col collapsed="false" customWidth="true" hidden="false" outlineLevel="0" max="8" min="7" style="0" width="13"/>
    <col collapsed="false" customWidth="true" hidden="false" outlineLevel="0" max="9" min="9" style="0" width="7.72"/>
    <col collapsed="false" customWidth="true" hidden="false" outlineLevel="0" max="10" min="10" style="0" width="5"/>
    <col collapsed="false" customWidth="true" hidden="false" outlineLevel="0" max="11" min="11" style="0" width="7.43"/>
    <col collapsed="false" customWidth="true" hidden="true" outlineLevel="0" max="12" min="12" style="0" width="8.29"/>
    <col collapsed="false" customWidth="true" hidden="false" outlineLevel="0" max="13" min="13" style="0" width="18.29"/>
    <col collapsed="false" customWidth="true" hidden="false" outlineLevel="0" max="14" min="14" style="0" width="9.14"/>
    <col collapsed="false" customWidth="true" hidden="false" outlineLevel="0" max="15" min="15" style="0" width="5.71"/>
    <col collapsed="false" customWidth="true" hidden="false" outlineLevel="0" max="16" min="16" style="0" width="6.29"/>
    <col collapsed="false" customWidth="true" hidden="true" outlineLevel="0" max="17" min="17" style="0" width="10.43"/>
  </cols>
  <sheetData>
    <row r="1" customFormat="false" ht="15" hidden="false" customHeight="false" outlineLevel="0" collapsed="false">
      <c r="A1" s="18" t="s">
        <v>986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customFormat="false" ht="15" hidden="false" customHeight="false" outlineLevel="0" collapsed="false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customFormat="false" ht="15" hidden="false" customHeight="false" outlineLevel="0" collapsed="false">
      <c r="A3" s="43"/>
      <c r="B3" s="44" t="s">
        <v>1</v>
      </c>
      <c r="C3" s="44" t="s">
        <v>2</v>
      </c>
      <c r="D3" s="44" t="s">
        <v>3</v>
      </c>
      <c r="E3" s="44" t="s">
        <v>4</v>
      </c>
      <c r="F3" s="44" t="s">
        <v>5</v>
      </c>
      <c r="G3" s="45" t="s">
        <v>6</v>
      </c>
      <c r="H3" s="44" t="s">
        <v>7</v>
      </c>
      <c r="I3" s="44" t="s">
        <v>8</v>
      </c>
      <c r="J3" s="44" t="s">
        <v>9</v>
      </c>
      <c r="K3" s="44" t="s">
        <v>10</v>
      </c>
      <c r="L3" s="44" t="s">
        <v>1101</v>
      </c>
      <c r="M3" s="44" t="s">
        <v>11</v>
      </c>
      <c r="N3" s="44" t="s">
        <v>12</v>
      </c>
      <c r="O3" s="44" t="s">
        <v>13</v>
      </c>
      <c r="P3" s="44" t="s">
        <v>16</v>
      </c>
    </row>
    <row r="4" customFormat="false" ht="15" hidden="false" customHeight="false" outlineLevel="0" collapsed="false">
      <c r="A4" s="46"/>
      <c r="B4" s="47"/>
      <c r="C4" s="44" t="s">
        <v>2378</v>
      </c>
      <c r="D4" s="48"/>
      <c r="E4" s="47"/>
      <c r="F4" s="47"/>
      <c r="G4" s="47"/>
      <c r="H4" s="47"/>
      <c r="I4" s="47"/>
      <c r="J4" s="47"/>
      <c r="K4" s="47"/>
      <c r="L4" s="47"/>
      <c r="M4" s="49"/>
      <c r="N4" s="50"/>
      <c r="O4" s="44"/>
      <c r="P4" s="44"/>
    </row>
    <row r="5" customFormat="false" ht="15" hidden="false" customHeight="false" outlineLevel="0" collapsed="false">
      <c r="A5" s="51" t="n">
        <v>1</v>
      </c>
      <c r="B5" s="10" t="n">
        <v>874552</v>
      </c>
      <c r="C5" s="10" t="s">
        <v>2379</v>
      </c>
      <c r="D5" s="60" t="n">
        <v>37074</v>
      </c>
      <c r="E5" s="10" t="s">
        <v>1538</v>
      </c>
      <c r="F5" s="61" t="s">
        <v>160</v>
      </c>
      <c r="G5" s="10" t="s">
        <v>2380</v>
      </c>
      <c r="H5" s="10" t="n">
        <v>7519560</v>
      </c>
      <c r="I5" s="10" t="n">
        <v>7089277</v>
      </c>
      <c r="J5" s="10" t="n">
        <v>4452</v>
      </c>
      <c r="K5" s="10" t="s">
        <v>22</v>
      </c>
      <c r="L5" s="10"/>
      <c r="M5" s="11" t="s">
        <v>1541</v>
      </c>
      <c r="N5" s="24" t="n">
        <v>45874</v>
      </c>
      <c r="O5" s="25" t="n">
        <f aca="false">INT((N5-D5)/365.25)</f>
        <v>24</v>
      </c>
      <c r="P5" s="12" t="s">
        <v>22</v>
      </c>
    </row>
    <row r="6" customFormat="false" ht="15" hidden="false" customHeight="false" outlineLevel="0" collapsed="false">
      <c r="A6" s="51" t="n">
        <v>2</v>
      </c>
      <c r="B6" s="10" t="n">
        <v>856219</v>
      </c>
      <c r="C6" s="10" t="s">
        <v>2273</v>
      </c>
      <c r="D6" s="60" t="n">
        <v>36877</v>
      </c>
      <c r="E6" s="10" t="s">
        <v>1586</v>
      </c>
      <c r="F6" s="61" t="s">
        <v>160</v>
      </c>
      <c r="G6" s="10" t="s">
        <v>2274</v>
      </c>
      <c r="H6" s="10" t="s">
        <v>2381</v>
      </c>
      <c r="I6" s="10" t="n">
        <v>1533636</v>
      </c>
      <c r="J6" s="10" t="n">
        <v>1410</v>
      </c>
      <c r="K6" s="10" t="s">
        <v>22</v>
      </c>
      <c r="L6" s="10"/>
      <c r="M6" s="11" t="s">
        <v>1541</v>
      </c>
      <c r="N6" s="24" t="n">
        <v>45874</v>
      </c>
      <c r="O6" s="25" t="n">
        <f aca="false">INT((N6-D6)/365.25)</f>
        <v>24</v>
      </c>
      <c r="P6" s="12" t="s">
        <v>22</v>
      </c>
    </row>
  </sheetData>
  <mergeCells count="1">
    <mergeCell ref="A1:P2"/>
  </mergeCells>
  <conditionalFormatting sqref="O5:O6">
    <cfRule type="colorScale" priority="2">
      <colorScale>
        <cfvo type="num" val="17"/>
        <cfvo type="num" val="18"/>
        <color rgb="FFFF0000"/>
        <color rgb="FF92D050"/>
      </colorScale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true"/>
  </sheetPr>
  <dimension ref="A1:P1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28" activeCellId="0" sqref="D28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8.72"/>
    <col collapsed="false" customWidth="true" hidden="false" outlineLevel="0" max="3" min="3" style="0" width="32.86"/>
    <col collapsed="false" customWidth="true" hidden="false" outlineLevel="0" max="4" min="4" style="0" width="9"/>
    <col collapsed="false" customWidth="true" hidden="false" outlineLevel="0" max="5" min="5" style="0" width="21"/>
    <col collapsed="false" customWidth="true" hidden="false" outlineLevel="0" max="6" min="6" style="0" width="6.43"/>
    <col collapsed="false" customWidth="true" hidden="false" outlineLevel="0" max="8" min="7" style="0" width="13"/>
    <col collapsed="false" customWidth="true" hidden="false" outlineLevel="0" max="9" min="9" style="0" width="7.72"/>
    <col collapsed="false" customWidth="true" hidden="false" outlineLevel="0" max="10" min="10" style="0" width="5"/>
    <col collapsed="false" customWidth="true" hidden="false" outlineLevel="0" max="11" min="11" style="0" width="7.43"/>
    <col collapsed="false" customWidth="true" hidden="true" outlineLevel="0" max="12" min="12" style="0" width="8.29"/>
    <col collapsed="false" customWidth="true" hidden="false" outlineLevel="0" max="13" min="13" style="0" width="18.29"/>
    <col collapsed="false" customWidth="true" hidden="false" outlineLevel="0" max="14" min="14" style="0" width="9.14"/>
    <col collapsed="false" customWidth="true" hidden="false" outlineLevel="0" max="15" min="15" style="0" width="5.71"/>
    <col collapsed="false" customWidth="true" hidden="false" outlineLevel="0" max="16" min="16" style="0" width="6.29"/>
    <col collapsed="false" customWidth="true" hidden="true" outlineLevel="0" max="17" min="17" style="0" width="10.43"/>
  </cols>
  <sheetData>
    <row r="1" customFormat="false" ht="15" hidden="false" customHeight="false" outlineLevel="0" collapsed="false">
      <c r="A1" s="18" t="s">
        <v>986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="16" customFormat="true" ht="15" hidden="false" customHeight="false" outlineLevel="0" collapsed="false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customFormat="false" ht="15" hidden="false" customHeight="false" outlineLevel="0" collapsed="false">
      <c r="A3" s="43"/>
      <c r="B3" s="44" t="s">
        <v>1</v>
      </c>
      <c r="C3" s="44" t="s">
        <v>2</v>
      </c>
      <c r="D3" s="44" t="s">
        <v>3</v>
      </c>
      <c r="E3" s="44" t="s">
        <v>4</v>
      </c>
      <c r="F3" s="44" t="s">
        <v>5</v>
      </c>
      <c r="G3" s="45" t="s">
        <v>6</v>
      </c>
      <c r="H3" s="44" t="s">
        <v>7</v>
      </c>
      <c r="I3" s="44" t="s">
        <v>8</v>
      </c>
      <c r="J3" s="44" t="s">
        <v>9</v>
      </c>
      <c r="K3" s="44" t="s">
        <v>10</v>
      </c>
      <c r="L3" s="44" t="s">
        <v>1101</v>
      </c>
      <c r="M3" s="44" t="s">
        <v>11</v>
      </c>
      <c r="N3" s="44" t="s">
        <v>12</v>
      </c>
      <c r="O3" s="44" t="s">
        <v>13</v>
      </c>
      <c r="P3" s="44" t="s">
        <v>16</v>
      </c>
    </row>
    <row r="4" customFormat="false" ht="15" hidden="false" customHeight="false" outlineLevel="0" collapsed="false">
      <c r="A4" s="46"/>
      <c r="B4" s="47"/>
      <c r="C4" s="44" t="s">
        <v>2382</v>
      </c>
      <c r="D4" s="48"/>
      <c r="E4" s="47"/>
      <c r="F4" s="47"/>
      <c r="G4" s="47"/>
      <c r="H4" s="47"/>
      <c r="I4" s="47"/>
      <c r="J4" s="47"/>
      <c r="K4" s="47"/>
      <c r="L4" s="47"/>
      <c r="M4" s="49"/>
      <c r="N4" s="50"/>
      <c r="O4" s="44"/>
      <c r="P4" s="44"/>
    </row>
    <row r="5" customFormat="false" ht="15" hidden="false" customHeight="false" outlineLevel="0" collapsed="false">
      <c r="A5" s="46" t="n">
        <v>1</v>
      </c>
      <c r="B5" s="10" t="n">
        <v>874296</v>
      </c>
      <c r="C5" s="11" t="s">
        <v>2383</v>
      </c>
      <c r="D5" s="12" t="n">
        <v>31624</v>
      </c>
      <c r="E5" s="11" t="s">
        <v>2384</v>
      </c>
      <c r="F5" s="11" t="s">
        <v>151</v>
      </c>
      <c r="G5" s="11" t="s">
        <v>2385</v>
      </c>
      <c r="H5" s="11" t="s">
        <v>2386</v>
      </c>
      <c r="I5" s="11" t="n">
        <v>559193</v>
      </c>
      <c r="J5" s="11" t="n">
        <v>9473</v>
      </c>
      <c r="K5" s="11" t="s">
        <v>22</v>
      </c>
      <c r="L5" s="11"/>
      <c r="M5" s="11" t="s">
        <v>1541</v>
      </c>
      <c r="N5" s="24" t="n">
        <v>45878</v>
      </c>
      <c r="O5" s="25" t="n">
        <f aca="false">INT((N5-D5)/365.25)</f>
        <v>39</v>
      </c>
      <c r="P5" s="12" t="s">
        <v>22</v>
      </c>
    </row>
    <row r="6" customFormat="false" ht="15" hidden="false" customHeight="false" outlineLevel="0" collapsed="false">
      <c r="A6" s="69"/>
      <c r="B6" s="11"/>
      <c r="C6" s="25"/>
      <c r="D6" s="12"/>
      <c r="E6" s="11"/>
      <c r="F6" s="11"/>
      <c r="G6" s="11"/>
      <c r="H6" s="11"/>
      <c r="I6" s="11"/>
      <c r="J6" s="11"/>
      <c r="K6" s="11"/>
      <c r="L6" s="11"/>
      <c r="M6" s="57"/>
      <c r="N6" s="24"/>
      <c r="O6" s="25"/>
      <c r="P6" s="25"/>
    </row>
    <row r="7" customFormat="false" ht="15" hidden="false" customHeight="false" outlineLevel="0" collapsed="false">
      <c r="A7" s="43"/>
      <c r="B7" s="44" t="s">
        <v>1</v>
      </c>
      <c r="C7" s="44" t="s">
        <v>2</v>
      </c>
      <c r="D7" s="44" t="s">
        <v>3</v>
      </c>
      <c r="E7" s="44" t="s">
        <v>4</v>
      </c>
      <c r="F7" s="44" t="s">
        <v>5</v>
      </c>
      <c r="G7" s="45" t="s">
        <v>6</v>
      </c>
      <c r="H7" s="44" t="s">
        <v>7</v>
      </c>
      <c r="I7" s="44" t="s">
        <v>8</v>
      </c>
      <c r="J7" s="44" t="s">
        <v>9</v>
      </c>
      <c r="K7" s="44" t="s">
        <v>10</v>
      </c>
      <c r="L7" s="44" t="s">
        <v>1101</v>
      </c>
      <c r="M7" s="44" t="s">
        <v>11</v>
      </c>
      <c r="N7" s="44" t="s">
        <v>12</v>
      </c>
      <c r="O7" s="44" t="s">
        <v>13</v>
      </c>
      <c r="P7" s="44" t="s">
        <v>16</v>
      </c>
    </row>
    <row r="8" customFormat="false" ht="15" hidden="false" customHeight="false" outlineLevel="0" collapsed="false">
      <c r="A8" s="46"/>
      <c r="B8" s="47"/>
      <c r="C8" s="44" t="s">
        <v>2387</v>
      </c>
      <c r="D8" s="48"/>
      <c r="E8" s="47"/>
      <c r="F8" s="47"/>
      <c r="G8" s="47"/>
      <c r="H8" s="47"/>
      <c r="I8" s="47"/>
      <c r="J8" s="47"/>
      <c r="K8" s="47"/>
      <c r="L8" s="47"/>
      <c r="M8" s="49"/>
      <c r="N8" s="50"/>
      <c r="O8" s="44"/>
      <c r="P8" s="44"/>
    </row>
    <row r="9" customFormat="false" ht="15" hidden="false" customHeight="false" outlineLevel="0" collapsed="false">
      <c r="A9" s="46" t="n">
        <v>1</v>
      </c>
      <c r="B9" s="10" t="n">
        <v>856235</v>
      </c>
      <c r="C9" s="11" t="s">
        <v>2388</v>
      </c>
      <c r="D9" s="12" t="n">
        <v>28699</v>
      </c>
      <c r="E9" s="11" t="s">
        <v>2389</v>
      </c>
      <c r="F9" s="11" t="s">
        <v>774</v>
      </c>
      <c r="G9" s="11" t="s">
        <v>2390</v>
      </c>
      <c r="H9" s="11" t="s">
        <v>2391</v>
      </c>
      <c r="I9" s="11" t="n">
        <v>340475</v>
      </c>
      <c r="J9" s="11" t="n">
        <v>2422</v>
      </c>
      <c r="K9" s="11" t="s">
        <v>22</v>
      </c>
      <c r="L9" s="11"/>
      <c r="M9" s="11" t="s">
        <v>1541</v>
      </c>
      <c r="N9" s="24" t="n">
        <v>45878</v>
      </c>
      <c r="O9" s="25" t="n">
        <f aca="false">INT((N9-D9)/365.25)</f>
        <v>47</v>
      </c>
      <c r="P9" s="12"/>
    </row>
    <row r="10" customFormat="false" ht="15" hidden="false" customHeight="false" outlineLevel="0" collapsed="false">
      <c r="A10" s="10"/>
      <c r="B10" s="10"/>
      <c r="C10" s="11"/>
      <c r="D10" s="12"/>
      <c r="E10" s="11"/>
      <c r="F10" s="11"/>
      <c r="G10" s="11"/>
      <c r="H10" s="11"/>
      <c r="I10" s="11"/>
      <c r="J10" s="11"/>
      <c r="K10" s="11"/>
      <c r="L10" s="11"/>
      <c r="M10" s="11"/>
      <c r="N10" s="24"/>
      <c r="O10" s="25"/>
      <c r="P10" s="12"/>
    </row>
    <row r="11" customFormat="false" ht="15" hidden="false" customHeight="false" outlineLevel="0" collapsed="false">
      <c r="A11" s="43" t="n">
        <f aca="false">A5+A9</f>
        <v>2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</row>
  </sheetData>
  <mergeCells count="2">
    <mergeCell ref="A1:P2"/>
    <mergeCell ref="A11:P11"/>
  </mergeCells>
  <conditionalFormatting sqref="O5 O9:O10">
    <cfRule type="colorScale" priority="2">
      <colorScale>
        <cfvo type="num" val="17"/>
        <cfvo type="num" val="18"/>
        <color rgb="FFFF0000"/>
        <color rgb="FF92D050"/>
      </colorScale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true"/>
  </sheetPr>
  <dimension ref="A1:Q4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H21" activeCellId="0" sqref="H2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6.86"/>
    <col collapsed="false" customWidth="true" hidden="false" outlineLevel="0" max="3" min="3" style="0" width="36.29"/>
    <col collapsed="false" customWidth="true" hidden="false" outlineLevel="0" max="4" min="4" style="0" width="9"/>
    <col collapsed="false" customWidth="true" hidden="false" outlineLevel="0" max="5" min="5" style="0" width="21.57"/>
    <col collapsed="false" customWidth="true" hidden="false" outlineLevel="0" max="6" min="6" style="0" width="6.43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10" min="9" style="0" width="7.72"/>
    <col collapsed="false" customWidth="true" hidden="false" outlineLevel="0" max="11" min="11" style="0" width="7.57"/>
    <col collapsed="false" customWidth="true" hidden="true" outlineLevel="0" max="12" min="12" style="0" width="8.29"/>
    <col collapsed="false" customWidth="true" hidden="false" outlineLevel="0" max="13" min="13" style="0" width="18.29"/>
    <col collapsed="false" customWidth="true" hidden="false" outlineLevel="0" max="14" min="14" style="0" width="9.14"/>
    <col collapsed="false" customWidth="true" hidden="false" outlineLevel="0" max="15" min="15" style="0" width="5.71"/>
    <col collapsed="false" customWidth="true" hidden="false" outlineLevel="0" max="16" min="16" style="0" width="9.43"/>
    <col collapsed="false" customWidth="true" hidden="true" outlineLevel="0" max="17" min="17" style="0" width="10.43"/>
  </cols>
  <sheetData>
    <row r="1" customFormat="false" ht="15" hidden="false" customHeight="false" outlineLevel="0" collapsed="false">
      <c r="A1" s="58" t="s">
        <v>1535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</row>
    <row r="2" customFormat="false" ht="15" hidden="false" customHeight="false" outlineLevel="0" collapsed="false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</row>
    <row r="3" customFormat="false" ht="15" hidden="false" customHeight="false" outlineLevel="0" collapsed="false">
      <c r="A3" s="43"/>
      <c r="B3" s="44" t="s">
        <v>1</v>
      </c>
      <c r="C3" s="44" t="s">
        <v>2</v>
      </c>
      <c r="D3" s="44" t="s">
        <v>3</v>
      </c>
      <c r="E3" s="44" t="s">
        <v>4</v>
      </c>
      <c r="F3" s="44" t="s">
        <v>5</v>
      </c>
      <c r="G3" s="45" t="s">
        <v>6</v>
      </c>
      <c r="H3" s="44" t="s">
        <v>7</v>
      </c>
      <c r="I3" s="44" t="s">
        <v>8</v>
      </c>
      <c r="J3" s="44" t="s">
        <v>9</v>
      </c>
      <c r="K3" s="44" t="s">
        <v>10</v>
      </c>
      <c r="L3" s="44" t="s">
        <v>1101</v>
      </c>
      <c r="M3" s="44" t="s">
        <v>11</v>
      </c>
      <c r="N3" s="44" t="s">
        <v>12</v>
      </c>
      <c r="O3" s="44" t="s">
        <v>13</v>
      </c>
      <c r="P3" s="44" t="s">
        <v>16</v>
      </c>
    </row>
    <row r="4" customFormat="false" ht="15" hidden="false" customHeight="false" outlineLevel="0" collapsed="false">
      <c r="A4" s="46"/>
      <c r="B4" s="47"/>
      <c r="C4" s="44" t="s">
        <v>1536</v>
      </c>
      <c r="D4" s="48"/>
      <c r="E4" s="47"/>
      <c r="F4" s="47"/>
      <c r="G4" s="47"/>
      <c r="H4" s="47"/>
      <c r="I4" s="47"/>
      <c r="J4" s="47"/>
      <c r="K4" s="47"/>
      <c r="L4" s="47"/>
      <c r="M4" s="49"/>
      <c r="N4" s="50"/>
      <c r="O4" s="44"/>
      <c r="P4" s="44"/>
    </row>
    <row r="5" customFormat="false" ht="15" hidden="false" customHeight="false" outlineLevel="0" collapsed="false">
      <c r="A5" s="51" t="n">
        <v>1</v>
      </c>
      <c r="B5" s="10" t="n">
        <v>862161</v>
      </c>
      <c r="C5" s="59" t="s">
        <v>1537</v>
      </c>
      <c r="D5" s="60" t="n">
        <v>28894</v>
      </c>
      <c r="E5" s="10" t="s">
        <v>1538</v>
      </c>
      <c r="F5" s="10" t="s">
        <v>160</v>
      </c>
      <c r="G5" s="10" t="s">
        <v>1539</v>
      </c>
      <c r="H5" s="10" t="s">
        <v>1540</v>
      </c>
      <c r="I5" s="10" t="n">
        <v>537110</v>
      </c>
      <c r="J5" s="10" t="n">
        <v>6405</v>
      </c>
      <c r="K5" s="10" t="s">
        <v>30</v>
      </c>
      <c r="L5" s="10"/>
      <c r="M5" s="11" t="s">
        <v>1541</v>
      </c>
      <c r="N5" s="24" t="n">
        <v>45873</v>
      </c>
      <c r="O5" s="25" t="n">
        <f aca="false">INT((N5-D5)/365.25)</f>
        <v>46</v>
      </c>
      <c r="P5" s="12" t="s">
        <v>22</v>
      </c>
    </row>
    <row r="6" customFormat="false" ht="15" hidden="false" customHeight="false" outlineLevel="0" collapsed="false">
      <c r="A6" s="51" t="n">
        <v>2</v>
      </c>
      <c r="B6" s="10" t="n">
        <v>851590</v>
      </c>
      <c r="C6" s="59" t="s">
        <v>1542</v>
      </c>
      <c r="D6" s="60" t="n">
        <v>31683</v>
      </c>
      <c r="E6" s="10" t="s">
        <v>1538</v>
      </c>
      <c r="F6" s="10" t="s">
        <v>160</v>
      </c>
      <c r="G6" s="10" t="s">
        <v>1543</v>
      </c>
      <c r="H6" s="10" t="s">
        <v>1544</v>
      </c>
      <c r="I6" s="10" t="n">
        <v>1063247</v>
      </c>
      <c r="J6" s="10" t="n">
        <v>1441</v>
      </c>
      <c r="K6" s="10" t="s">
        <v>22</v>
      </c>
      <c r="L6" s="10"/>
      <c r="M6" s="11" t="s">
        <v>1541</v>
      </c>
      <c r="N6" s="24" t="n">
        <v>45873</v>
      </c>
      <c r="O6" s="25" t="n">
        <f aca="false">INT((N6-D6)/365.25)</f>
        <v>38</v>
      </c>
      <c r="P6" s="12" t="s">
        <v>22</v>
      </c>
    </row>
    <row r="7" customFormat="false" ht="15" hidden="false" customHeight="false" outlineLevel="0" collapsed="false">
      <c r="A7" s="51" t="n">
        <v>3</v>
      </c>
      <c r="B7" s="10" t="n">
        <v>874328</v>
      </c>
      <c r="C7" s="59" t="s">
        <v>1545</v>
      </c>
      <c r="D7" s="60" t="n">
        <v>37779</v>
      </c>
      <c r="E7" s="10" t="s">
        <v>1538</v>
      </c>
      <c r="F7" s="10" t="s">
        <v>160</v>
      </c>
      <c r="G7" s="10" t="s">
        <v>1546</v>
      </c>
      <c r="H7" s="10" t="s">
        <v>1547</v>
      </c>
      <c r="I7" s="10" t="n">
        <v>1100080</v>
      </c>
      <c r="J7" s="10" t="n">
        <v>8483</v>
      </c>
      <c r="K7" s="10" t="s">
        <v>30</v>
      </c>
      <c r="L7" s="10"/>
      <c r="M7" s="11" t="s">
        <v>1541</v>
      </c>
      <c r="N7" s="24" t="n">
        <v>45873</v>
      </c>
      <c r="O7" s="25" t="n">
        <f aca="false">INT((N7-D7)/365.25)</f>
        <v>22</v>
      </c>
      <c r="P7" s="12" t="s">
        <v>22</v>
      </c>
    </row>
    <row r="8" customFormat="false" ht="15" hidden="false" customHeight="false" outlineLevel="0" collapsed="false">
      <c r="A8" s="51" t="n">
        <v>4</v>
      </c>
      <c r="B8" s="10" t="n">
        <v>874330</v>
      </c>
      <c r="C8" s="59" t="s">
        <v>1548</v>
      </c>
      <c r="D8" s="60" t="n">
        <v>37224</v>
      </c>
      <c r="E8" s="10" t="s">
        <v>1538</v>
      </c>
      <c r="F8" s="10" t="s">
        <v>160</v>
      </c>
      <c r="G8" s="10" t="s">
        <v>1549</v>
      </c>
      <c r="H8" s="10" t="s">
        <v>1550</v>
      </c>
      <c r="I8" s="10" t="n">
        <v>1401584</v>
      </c>
      <c r="J8" s="10" t="n">
        <v>470</v>
      </c>
      <c r="K8" s="10" t="s">
        <v>22</v>
      </c>
      <c r="L8" s="10"/>
      <c r="M8" s="11" t="s">
        <v>1541</v>
      </c>
      <c r="N8" s="24" t="n">
        <v>45873</v>
      </c>
      <c r="O8" s="25" t="n">
        <f aca="false">INT((N8-D8)/365.25)</f>
        <v>23</v>
      </c>
      <c r="P8" s="12" t="s">
        <v>22</v>
      </c>
    </row>
    <row r="9" customFormat="false" ht="15" hidden="false" customHeight="false" outlineLevel="0" collapsed="false">
      <c r="A9" s="51" t="n">
        <v>5</v>
      </c>
      <c r="B9" s="10" t="n">
        <v>862183</v>
      </c>
      <c r="C9" s="59" t="s">
        <v>1551</v>
      </c>
      <c r="D9" s="60" t="n">
        <v>32637</v>
      </c>
      <c r="E9" s="10" t="s">
        <v>1538</v>
      </c>
      <c r="F9" s="10" t="s">
        <v>160</v>
      </c>
      <c r="G9" s="10" t="s">
        <v>1552</v>
      </c>
      <c r="H9" s="10" t="s">
        <v>1553</v>
      </c>
      <c r="I9" s="10" t="n">
        <v>65201</v>
      </c>
      <c r="J9" s="10" t="n">
        <v>27</v>
      </c>
      <c r="K9" s="10" t="s">
        <v>22</v>
      </c>
      <c r="L9" s="10"/>
      <c r="M9" s="11" t="s">
        <v>1541</v>
      </c>
      <c r="N9" s="24" t="n">
        <v>45873</v>
      </c>
      <c r="O9" s="25" t="n">
        <f aca="false">INT((N9-D9)/365.25)</f>
        <v>36</v>
      </c>
      <c r="P9" s="12" t="s">
        <v>22</v>
      </c>
    </row>
    <row r="10" customFormat="false" ht="15" hidden="false" customHeight="false" outlineLevel="0" collapsed="false">
      <c r="A10" s="51" t="n">
        <v>6</v>
      </c>
      <c r="B10" s="10" t="n">
        <v>874331</v>
      </c>
      <c r="C10" s="59" t="s">
        <v>1554</v>
      </c>
      <c r="D10" s="60" t="n">
        <v>30818</v>
      </c>
      <c r="E10" s="10" t="s">
        <v>1538</v>
      </c>
      <c r="F10" s="10" t="s">
        <v>160</v>
      </c>
      <c r="G10" s="10" t="s">
        <v>1555</v>
      </c>
      <c r="H10" s="10" t="s">
        <v>1556</v>
      </c>
      <c r="I10" s="10" t="n">
        <v>609274</v>
      </c>
      <c r="J10" s="10" t="n">
        <v>7405</v>
      </c>
      <c r="K10" s="10" t="s">
        <v>30</v>
      </c>
      <c r="L10" s="10"/>
      <c r="M10" s="11" t="s">
        <v>1541</v>
      </c>
      <c r="N10" s="24" t="n">
        <v>45873</v>
      </c>
      <c r="O10" s="25" t="n">
        <f aca="false">INT((N10-D10)/365.25)</f>
        <v>41</v>
      </c>
      <c r="P10" s="12" t="s">
        <v>22</v>
      </c>
    </row>
    <row r="11" customFormat="false" ht="15" hidden="false" customHeight="false" outlineLevel="0" collapsed="false">
      <c r="A11" s="51" t="n">
        <v>7</v>
      </c>
      <c r="B11" s="10" t="n">
        <v>874334</v>
      </c>
      <c r="C11" s="59" t="s">
        <v>1557</v>
      </c>
      <c r="D11" s="60" t="n">
        <v>33827</v>
      </c>
      <c r="E11" s="10" t="s">
        <v>1538</v>
      </c>
      <c r="F11" s="10" t="s">
        <v>160</v>
      </c>
      <c r="G11" s="10" t="s">
        <v>1558</v>
      </c>
      <c r="H11" s="10" t="s">
        <v>1559</v>
      </c>
      <c r="I11" s="10" t="n">
        <v>540119</v>
      </c>
      <c r="J11" s="10" t="n">
        <v>7500</v>
      </c>
      <c r="K11" s="10" t="s">
        <v>22</v>
      </c>
      <c r="L11" s="10"/>
      <c r="M11" s="11" t="s">
        <v>1541</v>
      </c>
      <c r="N11" s="24" t="n">
        <v>45873</v>
      </c>
      <c r="O11" s="25" t="n">
        <f aca="false">INT((N11-D11)/365.25)</f>
        <v>32</v>
      </c>
      <c r="P11" s="12" t="s">
        <v>22</v>
      </c>
    </row>
    <row r="12" customFormat="false" ht="15" hidden="false" customHeight="false" outlineLevel="0" collapsed="false">
      <c r="A12" s="51" t="n">
        <v>8</v>
      </c>
      <c r="B12" s="10" t="n">
        <v>874335</v>
      </c>
      <c r="C12" s="10" t="s">
        <v>1882</v>
      </c>
      <c r="D12" s="60" t="n">
        <v>36323</v>
      </c>
      <c r="E12" s="10" t="s">
        <v>1538</v>
      </c>
      <c r="F12" s="10" t="s">
        <v>160</v>
      </c>
      <c r="G12" s="10" t="s">
        <v>1883</v>
      </c>
      <c r="H12" s="10" t="s">
        <v>1884</v>
      </c>
      <c r="I12" s="10" t="n">
        <v>7131036</v>
      </c>
      <c r="J12" s="10" t="n">
        <v>4478</v>
      </c>
      <c r="K12" s="10" t="s">
        <v>1483</v>
      </c>
      <c r="L12" s="10"/>
      <c r="M12" s="11" t="s">
        <v>1541</v>
      </c>
      <c r="N12" s="24" t="n">
        <v>45873</v>
      </c>
      <c r="O12" s="25" t="n">
        <f aca="false">INT((N12-D12)/365.25)</f>
        <v>26</v>
      </c>
      <c r="P12" s="12" t="s">
        <v>22</v>
      </c>
    </row>
    <row r="13" customFormat="false" ht="15" hidden="false" customHeight="false" outlineLevel="0" collapsed="false">
      <c r="A13" s="51" t="n">
        <v>9</v>
      </c>
      <c r="B13" s="10" t="n">
        <v>861680</v>
      </c>
      <c r="C13" s="10" t="s">
        <v>1885</v>
      </c>
      <c r="D13" s="60" t="n">
        <v>38343</v>
      </c>
      <c r="E13" s="10" t="s">
        <v>1538</v>
      </c>
      <c r="F13" s="10" t="s">
        <v>160</v>
      </c>
      <c r="G13" s="10" t="s">
        <v>1886</v>
      </c>
      <c r="H13" s="10" t="s">
        <v>1887</v>
      </c>
      <c r="I13" s="10" t="n">
        <v>1419649</v>
      </c>
      <c r="J13" s="10" t="n">
        <v>8418</v>
      </c>
      <c r="K13" s="10" t="s">
        <v>1509</v>
      </c>
      <c r="L13" s="10"/>
      <c r="M13" s="11" t="s">
        <v>1541</v>
      </c>
      <c r="N13" s="24" t="n">
        <v>45873</v>
      </c>
      <c r="O13" s="25" t="n">
        <f aca="false">INT((N13-D13)/365.25)</f>
        <v>20</v>
      </c>
      <c r="P13" s="12" t="s">
        <v>22</v>
      </c>
    </row>
    <row r="14" customFormat="false" ht="15" hidden="false" customHeight="false" outlineLevel="0" collapsed="false">
      <c r="A14" s="51" t="n">
        <v>10</v>
      </c>
      <c r="B14" s="10" t="n">
        <v>862202</v>
      </c>
      <c r="C14" s="10" t="s">
        <v>1560</v>
      </c>
      <c r="D14" s="60" t="n">
        <v>38405</v>
      </c>
      <c r="E14" s="10" t="s">
        <v>1538</v>
      </c>
      <c r="F14" s="10" t="s">
        <v>160</v>
      </c>
      <c r="G14" s="10" t="s">
        <v>1561</v>
      </c>
      <c r="H14" s="10" t="s">
        <v>1562</v>
      </c>
      <c r="I14" s="10" t="n">
        <v>1524423</v>
      </c>
      <c r="J14" s="10" t="n">
        <v>6458</v>
      </c>
      <c r="K14" s="10" t="s">
        <v>22</v>
      </c>
      <c r="L14" s="10"/>
      <c r="M14" s="11" t="s">
        <v>1541</v>
      </c>
      <c r="N14" s="24" t="n">
        <v>45873</v>
      </c>
      <c r="O14" s="25" t="n">
        <f aca="false">INT((N14-D14)/365.25)</f>
        <v>20</v>
      </c>
      <c r="P14" s="12" t="s">
        <v>22</v>
      </c>
    </row>
    <row r="15" customFormat="false" ht="15" hidden="false" customHeight="false" outlineLevel="0" collapsed="false">
      <c r="A15" s="51" t="n">
        <v>11</v>
      </c>
      <c r="B15" s="10" t="n">
        <v>861682</v>
      </c>
      <c r="C15" s="59" t="s">
        <v>1563</v>
      </c>
      <c r="D15" s="60" t="n">
        <v>38809</v>
      </c>
      <c r="E15" s="10" t="s">
        <v>1538</v>
      </c>
      <c r="F15" s="10" t="s">
        <v>160</v>
      </c>
      <c r="G15" s="10" t="s">
        <v>1564</v>
      </c>
      <c r="H15" s="10" t="s">
        <v>1565</v>
      </c>
      <c r="I15" s="10" t="n">
        <v>1051141</v>
      </c>
      <c r="J15" s="10" t="n">
        <v>9589</v>
      </c>
      <c r="K15" s="10" t="s">
        <v>1483</v>
      </c>
      <c r="L15" s="10"/>
      <c r="M15" s="11" t="s">
        <v>1541</v>
      </c>
      <c r="N15" s="24" t="n">
        <v>45873</v>
      </c>
      <c r="O15" s="25" t="n">
        <f aca="false">INT((N15-D15)/365.25)</f>
        <v>19</v>
      </c>
      <c r="P15" s="12" t="s">
        <v>22</v>
      </c>
    </row>
    <row r="16" customFormat="false" ht="15" hidden="false" customHeight="false" outlineLevel="0" collapsed="false">
      <c r="A16" s="51" t="n">
        <v>12</v>
      </c>
      <c r="B16" s="10" t="n">
        <v>874337</v>
      </c>
      <c r="C16" s="10" t="s">
        <v>1566</v>
      </c>
      <c r="D16" s="60" t="n">
        <v>33006</v>
      </c>
      <c r="E16" s="10" t="s">
        <v>1538</v>
      </c>
      <c r="F16" s="10" t="s">
        <v>160</v>
      </c>
      <c r="G16" s="10" t="s">
        <v>1567</v>
      </c>
      <c r="H16" s="10" t="s">
        <v>1568</v>
      </c>
      <c r="I16" s="10" t="n">
        <v>943320</v>
      </c>
      <c r="J16" s="10" t="n">
        <v>1490</v>
      </c>
      <c r="K16" s="10" t="s">
        <v>30</v>
      </c>
      <c r="L16" s="10"/>
      <c r="M16" s="11" t="s">
        <v>1541</v>
      </c>
      <c r="N16" s="24" t="n">
        <v>45873</v>
      </c>
      <c r="O16" s="25" t="n">
        <f aca="false">INT((N16-D16)/365.25)</f>
        <v>35</v>
      </c>
      <c r="P16" s="12" t="s">
        <v>22</v>
      </c>
    </row>
    <row r="17" customFormat="false" ht="15" hidden="false" customHeight="false" outlineLevel="0" collapsed="false">
      <c r="A17" s="51" t="n">
        <v>13</v>
      </c>
      <c r="B17" s="10" t="n">
        <v>851602</v>
      </c>
      <c r="C17" s="59" t="s">
        <v>1569</v>
      </c>
      <c r="D17" s="60" t="n">
        <v>30959</v>
      </c>
      <c r="E17" s="10" t="s">
        <v>1538</v>
      </c>
      <c r="F17" s="10" t="s">
        <v>160</v>
      </c>
      <c r="G17" s="10" t="s">
        <v>1570</v>
      </c>
      <c r="H17" s="10" t="s">
        <v>1571</v>
      </c>
      <c r="I17" s="10" t="n">
        <v>622866</v>
      </c>
      <c r="J17" s="10" t="n">
        <v>8420</v>
      </c>
      <c r="K17" s="10" t="s">
        <v>2</v>
      </c>
      <c r="L17" s="10"/>
      <c r="M17" s="11" t="s">
        <v>1541</v>
      </c>
      <c r="N17" s="24" t="n">
        <v>45873</v>
      </c>
      <c r="O17" s="25" t="n">
        <f aca="false">INT((N17-D17)/365.25)</f>
        <v>40</v>
      </c>
      <c r="P17" s="12" t="s">
        <v>22</v>
      </c>
    </row>
    <row r="18" customFormat="false" ht="15" hidden="false" customHeight="false" outlineLevel="0" collapsed="false">
      <c r="A18" s="51" t="n">
        <v>14</v>
      </c>
      <c r="B18" s="10" t="n">
        <v>874484</v>
      </c>
      <c r="C18" s="10" t="s">
        <v>2392</v>
      </c>
      <c r="D18" s="60" t="n">
        <v>37691</v>
      </c>
      <c r="E18" s="10" t="s">
        <v>1586</v>
      </c>
      <c r="F18" s="10" t="s">
        <v>160</v>
      </c>
      <c r="G18" s="10" t="s">
        <v>2393</v>
      </c>
      <c r="H18" s="10" t="n">
        <v>46080661</v>
      </c>
      <c r="I18" s="10" t="n">
        <v>986469</v>
      </c>
      <c r="J18" s="10" t="n">
        <v>9474</v>
      </c>
      <c r="K18" s="10" t="s">
        <v>22</v>
      </c>
      <c r="L18" s="10"/>
      <c r="M18" s="11" t="s">
        <v>2394</v>
      </c>
      <c r="N18" s="24" t="n">
        <v>45874</v>
      </c>
      <c r="O18" s="25" t="n">
        <f aca="false">INT((N18-D18)/365.25)</f>
        <v>22</v>
      </c>
      <c r="P18" s="12" t="s">
        <v>22</v>
      </c>
    </row>
    <row r="19" customFormat="false" ht="15" hidden="false" customHeight="false" outlineLevel="0" collapsed="false">
      <c r="A19" s="51" t="n">
        <v>15</v>
      </c>
      <c r="B19" s="10" t="n">
        <v>874340</v>
      </c>
      <c r="C19" s="10" t="s">
        <v>1888</v>
      </c>
      <c r="D19" s="60" t="n">
        <v>36230</v>
      </c>
      <c r="E19" s="10" t="s">
        <v>1538</v>
      </c>
      <c r="F19" s="10" t="s">
        <v>160</v>
      </c>
      <c r="G19" s="10" t="s">
        <v>1889</v>
      </c>
      <c r="H19" s="10" t="s">
        <v>1890</v>
      </c>
      <c r="I19" s="10" t="n">
        <v>7035560</v>
      </c>
      <c r="J19" s="10" t="n">
        <v>9479</v>
      </c>
      <c r="K19" s="10" t="s">
        <v>1509</v>
      </c>
      <c r="L19" s="10"/>
      <c r="M19" s="11" t="s">
        <v>1541</v>
      </c>
      <c r="N19" s="24" t="n">
        <v>45873</v>
      </c>
      <c r="O19" s="25" t="n">
        <f aca="false">INT((N19-D19)/365.25)</f>
        <v>26</v>
      </c>
      <c r="P19" s="12" t="s">
        <v>22</v>
      </c>
      <c r="Q19" s="0" t="s">
        <v>16</v>
      </c>
    </row>
    <row r="20" customFormat="false" ht="15" hidden="false" customHeight="false" outlineLevel="0" collapsed="false">
      <c r="A20" s="51" t="n">
        <v>16</v>
      </c>
      <c r="B20" s="10" t="n">
        <v>874344</v>
      </c>
      <c r="C20" s="59" t="s">
        <v>1572</v>
      </c>
      <c r="D20" s="60" t="n">
        <v>39074</v>
      </c>
      <c r="E20" s="10" t="s">
        <v>1538</v>
      </c>
      <c r="F20" s="10" t="s">
        <v>160</v>
      </c>
      <c r="G20" s="10" t="s">
        <v>1573</v>
      </c>
      <c r="H20" s="10" t="s">
        <v>1574</v>
      </c>
      <c r="I20" s="10" t="n">
        <v>1505505</v>
      </c>
      <c r="J20" s="10" t="n">
        <v>4450</v>
      </c>
      <c r="K20" s="10" t="s">
        <v>30</v>
      </c>
      <c r="L20" s="10"/>
      <c r="M20" s="11" t="s">
        <v>1541</v>
      </c>
      <c r="N20" s="24" t="n">
        <v>45873</v>
      </c>
      <c r="O20" s="25" t="n">
        <f aca="false">INT((N20-D20)/365.25)</f>
        <v>18</v>
      </c>
      <c r="P20" s="12" t="s">
        <v>22</v>
      </c>
    </row>
    <row r="21" customFormat="false" ht="15" hidden="false" customHeight="false" outlineLevel="0" collapsed="false">
      <c r="A21" s="51" t="n">
        <v>17</v>
      </c>
      <c r="B21" s="10" t="n">
        <v>874345</v>
      </c>
      <c r="C21" s="10" t="s">
        <v>1891</v>
      </c>
      <c r="D21" s="60" t="n">
        <v>36165</v>
      </c>
      <c r="E21" s="10" t="s">
        <v>1538</v>
      </c>
      <c r="F21" s="10" t="s">
        <v>160</v>
      </c>
      <c r="G21" s="10" t="s">
        <v>1892</v>
      </c>
      <c r="H21" s="10" t="s">
        <v>1893</v>
      </c>
      <c r="I21" s="10" t="n">
        <v>7130507</v>
      </c>
      <c r="J21" s="10" t="n">
        <v>4467</v>
      </c>
      <c r="K21" s="10" t="s">
        <v>22</v>
      </c>
      <c r="L21" s="10"/>
      <c r="M21" s="11" t="s">
        <v>1541</v>
      </c>
      <c r="N21" s="24" t="n">
        <v>45873</v>
      </c>
      <c r="O21" s="25" t="n">
        <f aca="false">INT((N21-D21)/365.25)</f>
        <v>26</v>
      </c>
      <c r="P21" s="12" t="s">
        <v>22</v>
      </c>
    </row>
    <row r="22" customFormat="false" ht="15" hidden="false" customHeight="false" outlineLevel="0" collapsed="false">
      <c r="A22" s="51" t="n">
        <v>18</v>
      </c>
      <c r="B22" s="10" t="n">
        <v>874346</v>
      </c>
      <c r="C22" s="59" t="s">
        <v>1575</v>
      </c>
      <c r="D22" s="60" t="n">
        <v>39176</v>
      </c>
      <c r="E22" s="10" t="s">
        <v>1538</v>
      </c>
      <c r="F22" s="10" t="s">
        <v>160</v>
      </c>
      <c r="G22" s="10" t="s">
        <v>1576</v>
      </c>
      <c r="H22" s="10" t="s">
        <v>1577</v>
      </c>
      <c r="I22" s="10" t="n">
        <v>1501512</v>
      </c>
      <c r="J22" s="10" t="n">
        <v>6417</v>
      </c>
      <c r="K22" s="10" t="s">
        <v>30</v>
      </c>
      <c r="L22" s="10"/>
      <c r="M22" s="11" t="s">
        <v>1541</v>
      </c>
      <c r="N22" s="24" t="n">
        <v>45873</v>
      </c>
      <c r="O22" s="25" t="n">
        <f aca="false">INT((N22-D22)/365.25)</f>
        <v>18</v>
      </c>
      <c r="P22" s="12" t="s">
        <v>22</v>
      </c>
    </row>
    <row r="23" customFormat="false" ht="15" hidden="false" customHeight="false" outlineLevel="0" collapsed="false">
      <c r="A23" s="51" t="n">
        <v>19</v>
      </c>
      <c r="B23" s="10" t="n">
        <v>851592</v>
      </c>
      <c r="C23" s="59" t="s">
        <v>1578</v>
      </c>
      <c r="D23" s="60" t="n">
        <v>37160</v>
      </c>
      <c r="E23" s="10" t="s">
        <v>1538</v>
      </c>
      <c r="F23" s="10" t="s">
        <v>160</v>
      </c>
      <c r="G23" s="10" t="s">
        <v>1579</v>
      </c>
      <c r="H23" s="10" t="s">
        <v>1580</v>
      </c>
      <c r="I23" s="10" t="n">
        <v>1505887</v>
      </c>
      <c r="J23" s="10" t="n">
        <v>6400</v>
      </c>
      <c r="K23" s="10" t="s">
        <v>22</v>
      </c>
      <c r="L23" s="10"/>
      <c r="M23" s="11" t="s">
        <v>1541</v>
      </c>
      <c r="N23" s="24" t="n">
        <v>45873</v>
      </c>
      <c r="O23" s="25" t="n">
        <f aca="false">INT((N23-D23)/365.25)</f>
        <v>23</v>
      </c>
      <c r="P23" s="12" t="s">
        <v>22</v>
      </c>
    </row>
    <row r="24" customFormat="false" ht="15" hidden="false" customHeight="false" outlineLevel="0" collapsed="false">
      <c r="A24" s="51" t="n">
        <v>20</v>
      </c>
      <c r="B24" s="52" t="n">
        <v>874348</v>
      </c>
      <c r="C24" s="52" t="s">
        <v>1581</v>
      </c>
      <c r="D24" s="60" t="n">
        <v>36400</v>
      </c>
      <c r="E24" s="10" t="s">
        <v>1538</v>
      </c>
      <c r="F24" s="10" t="s">
        <v>160</v>
      </c>
      <c r="G24" s="10" t="s">
        <v>1582</v>
      </c>
      <c r="H24" s="10" t="n">
        <v>41307690</v>
      </c>
      <c r="I24" s="10" t="n">
        <v>4283488</v>
      </c>
      <c r="J24" s="10" t="n">
        <v>50</v>
      </c>
      <c r="K24" s="10" t="s">
        <v>22</v>
      </c>
      <c r="L24" s="10"/>
      <c r="M24" s="11" t="s">
        <v>1541</v>
      </c>
      <c r="N24" s="24" t="n">
        <v>45873</v>
      </c>
      <c r="O24" s="25" t="n">
        <f aca="false">INT((N24-D24)/365.25)</f>
        <v>25</v>
      </c>
      <c r="P24" s="12" t="s">
        <v>22</v>
      </c>
    </row>
    <row r="25" customFormat="false" ht="15" hidden="false" customHeight="false" outlineLevel="0" collapsed="false">
      <c r="A25" s="51" t="n">
        <v>21</v>
      </c>
      <c r="B25" s="10" t="n">
        <v>862193</v>
      </c>
      <c r="C25" s="59" t="s">
        <v>1583</v>
      </c>
      <c r="D25" s="60" t="n">
        <v>27876</v>
      </c>
      <c r="E25" s="10" t="s">
        <v>1538</v>
      </c>
      <c r="F25" s="10" t="s">
        <v>160</v>
      </c>
      <c r="G25" s="10" t="s">
        <v>1584</v>
      </c>
      <c r="H25" s="10" t="n">
        <v>1942423</v>
      </c>
      <c r="I25" s="10" t="n">
        <v>403568</v>
      </c>
      <c r="J25" s="10" t="n">
        <v>1458</v>
      </c>
      <c r="K25" s="10" t="s">
        <v>22</v>
      </c>
      <c r="L25" s="10"/>
      <c r="M25" s="11" t="s">
        <v>1541</v>
      </c>
      <c r="N25" s="24" t="n">
        <v>45873</v>
      </c>
      <c r="O25" s="25" t="n">
        <f aca="false">INT((N25-D25)/365.25)</f>
        <v>49</v>
      </c>
      <c r="P25" s="12" t="s">
        <v>22</v>
      </c>
    </row>
    <row r="26" customFormat="false" ht="15" hidden="false" customHeight="false" outlineLevel="0" collapsed="false">
      <c r="A26" s="51" t="n">
        <v>22</v>
      </c>
      <c r="B26" s="10" t="n">
        <v>851646</v>
      </c>
      <c r="C26" s="59" t="s">
        <v>1585</v>
      </c>
      <c r="D26" s="60" t="n">
        <v>33248</v>
      </c>
      <c r="E26" s="10" t="s">
        <v>1586</v>
      </c>
      <c r="F26" s="10" t="s">
        <v>160</v>
      </c>
      <c r="G26" s="10" t="s">
        <v>1587</v>
      </c>
      <c r="H26" s="10" t="s">
        <v>1588</v>
      </c>
      <c r="I26" s="10" t="n">
        <v>65240</v>
      </c>
      <c r="J26" s="10" t="n">
        <v>27</v>
      </c>
      <c r="K26" s="10" t="s">
        <v>30</v>
      </c>
      <c r="L26" s="10"/>
      <c r="M26" s="11" t="s">
        <v>1541</v>
      </c>
      <c r="N26" s="24" t="n">
        <v>45873</v>
      </c>
      <c r="O26" s="25" t="n">
        <f aca="false">INT((N26-D26)/365.25)</f>
        <v>34</v>
      </c>
      <c r="P26" s="12" t="s">
        <v>22</v>
      </c>
    </row>
    <row r="27" customFormat="false" ht="15" hidden="false" customHeight="false" outlineLevel="0" collapsed="false">
      <c r="A27" s="51" t="n">
        <v>23</v>
      </c>
      <c r="B27" s="10" t="n">
        <v>874354</v>
      </c>
      <c r="C27" s="59" t="s">
        <v>1589</v>
      </c>
      <c r="D27" s="60" t="n">
        <v>39128</v>
      </c>
      <c r="E27" s="10" t="s">
        <v>1586</v>
      </c>
      <c r="F27" s="10" t="s">
        <v>160</v>
      </c>
      <c r="G27" s="10" t="s">
        <v>1590</v>
      </c>
      <c r="H27" s="10" t="n">
        <v>45024829</v>
      </c>
      <c r="I27" s="10" t="n">
        <v>1228677</v>
      </c>
      <c r="J27" s="10" t="n">
        <v>2479</v>
      </c>
      <c r="K27" s="10" t="s">
        <v>22</v>
      </c>
      <c r="L27" s="10"/>
      <c r="M27" s="11" t="s">
        <v>1541</v>
      </c>
      <c r="N27" s="24" t="n">
        <v>45873</v>
      </c>
      <c r="O27" s="25" t="n">
        <f aca="false">INT((N27-D27)/365.25)</f>
        <v>18</v>
      </c>
      <c r="P27" s="12" t="s">
        <v>22</v>
      </c>
    </row>
    <row r="28" customFormat="false" ht="15" hidden="false" customHeight="false" outlineLevel="0" collapsed="false">
      <c r="A28" s="51" t="n">
        <v>24</v>
      </c>
      <c r="B28" s="10" t="n">
        <v>862186</v>
      </c>
      <c r="C28" s="59" t="s">
        <v>1591</v>
      </c>
      <c r="D28" s="60" t="n">
        <v>30099</v>
      </c>
      <c r="E28" s="10" t="s">
        <v>1586</v>
      </c>
      <c r="F28" s="10" t="s">
        <v>160</v>
      </c>
      <c r="G28" s="10" t="s">
        <v>1592</v>
      </c>
      <c r="H28" s="10" t="s">
        <v>1593</v>
      </c>
      <c r="I28" s="10" t="n">
        <v>922212</v>
      </c>
      <c r="J28" s="10" t="n">
        <v>2445</v>
      </c>
      <c r="K28" s="10" t="s">
        <v>22</v>
      </c>
      <c r="L28" s="10"/>
      <c r="M28" s="11" t="s">
        <v>1541</v>
      </c>
      <c r="N28" s="24" t="n">
        <v>45873</v>
      </c>
      <c r="O28" s="25" t="n">
        <f aca="false">INT((N28-D28)/365.25)</f>
        <v>43</v>
      </c>
      <c r="P28" s="12" t="s">
        <v>22</v>
      </c>
    </row>
    <row r="29" customFormat="false" ht="15" hidden="false" customHeight="false" outlineLevel="0" collapsed="false">
      <c r="A29" s="51" t="n">
        <v>25</v>
      </c>
      <c r="B29" s="10" t="n">
        <v>862744</v>
      </c>
      <c r="C29" s="59" t="s">
        <v>1594</v>
      </c>
      <c r="D29" s="60" t="n">
        <v>38796</v>
      </c>
      <c r="E29" s="10" t="s">
        <v>1586</v>
      </c>
      <c r="F29" s="10" t="s">
        <v>160</v>
      </c>
      <c r="G29" s="10" t="s">
        <v>1595</v>
      </c>
      <c r="H29" s="10" t="n">
        <v>45103096</v>
      </c>
      <c r="I29" s="10" t="n">
        <v>1138411</v>
      </c>
      <c r="J29" s="10" t="n">
        <v>9493</v>
      </c>
      <c r="K29" s="10" t="s">
        <v>1509</v>
      </c>
      <c r="L29" s="10"/>
      <c r="M29" s="11" t="s">
        <v>1541</v>
      </c>
      <c r="N29" s="24" t="n">
        <v>45873</v>
      </c>
      <c r="O29" s="25" t="n">
        <f aca="false">INT((N29-D29)/365.25)</f>
        <v>19</v>
      </c>
      <c r="P29" s="12" t="s">
        <v>22</v>
      </c>
    </row>
    <row r="30" customFormat="false" ht="15" hidden="false" customHeight="false" outlineLevel="0" collapsed="false">
      <c r="A30" s="51" t="n">
        <v>26</v>
      </c>
      <c r="B30" s="10" t="n">
        <v>874408</v>
      </c>
      <c r="C30" s="59" t="s">
        <v>1596</v>
      </c>
      <c r="D30" s="60" t="n">
        <v>31917</v>
      </c>
      <c r="E30" s="10" t="s">
        <v>1586</v>
      </c>
      <c r="F30" s="10" t="s">
        <v>160</v>
      </c>
      <c r="G30" s="10" t="s">
        <v>1597</v>
      </c>
      <c r="H30" s="10" t="s">
        <v>1598</v>
      </c>
      <c r="I30" s="10" t="n">
        <v>802165</v>
      </c>
      <c r="J30" s="10" t="n">
        <v>6484</v>
      </c>
      <c r="K30" s="10" t="s">
        <v>30</v>
      </c>
      <c r="L30" s="10"/>
      <c r="M30" s="11" t="s">
        <v>1541</v>
      </c>
      <c r="N30" s="24" t="n">
        <v>45873</v>
      </c>
      <c r="O30" s="25" t="n">
        <f aca="false">INT((N30-D30)/365.25)</f>
        <v>38</v>
      </c>
      <c r="P30" s="12" t="s">
        <v>22</v>
      </c>
    </row>
    <row r="31" customFormat="false" ht="15" hidden="false" customHeight="false" outlineLevel="0" collapsed="false">
      <c r="A31" s="51" t="n">
        <v>27</v>
      </c>
      <c r="B31" s="10" t="n">
        <v>862156</v>
      </c>
      <c r="C31" s="59" t="s">
        <v>1599</v>
      </c>
      <c r="D31" s="60" t="n">
        <v>38672</v>
      </c>
      <c r="E31" s="10" t="s">
        <v>1586</v>
      </c>
      <c r="F31" s="10" t="s">
        <v>160</v>
      </c>
      <c r="G31" s="10" t="s">
        <v>1600</v>
      </c>
      <c r="H31" s="10" t="n">
        <v>45221335</v>
      </c>
      <c r="I31" s="10" t="n">
        <v>1384379</v>
      </c>
      <c r="J31" s="10" t="n">
        <v>3476</v>
      </c>
      <c r="K31" s="10" t="s">
        <v>22</v>
      </c>
      <c r="L31" s="10"/>
      <c r="M31" s="11" t="s">
        <v>1541</v>
      </c>
      <c r="N31" s="24" t="n">
        <v>45873</v>
      </c>
      <c r="O31" s="25" t="n">
        <f aca="false">INT((N31-D31)/365.25)</f>
        <v>19</v>
      </c>
      <c r="P31" s="12" t="s">
        <v>22</v>
      </c>
    </row>
    <row r="32" customFormat="false" ht="15" hidden="false" customHeight="false" outlineLevel="0" collapsed="false">
      <c r="A32" s="51" t="n">
        <v>28</v>
      </c>
      <c r="B32" s="10" t="n">
        <v>863213</v>
      </c>
      <c r="C32" s="10" t="s">
        <v>1900</v>
      </c>
      <c r="D32" s="60" t="n">
        <v>28249</v>
      </c>
      <c r="E32" s="10" t="s">
        <v>1586</v>
      </c>
      <c r="F32" s="10" t="s">
        <v>160</v>
      </c>
      <c r="G32" s="10" t="s">
        <v>1901</v>
      </c>
      <c r="H32" s="10" t="n">
        <v>1887626</v>
      </c>
      <c r="I32" s="10" t="n">
        <v>428247</v>
      </c>
      <c r="J32" s="10" t="n">
        <v>5471</v>
      </c>
      <c r="K32" s="10" t="s">
        <v>22</v>
      </c>
      <c r="L32" s="10"/>
      <c r="M32" s="11" t="s">
        <v>1541</v>
      </c>
      <c r="N32" s="24" t="n">
        <v>45873</v>
      </c>
      <c r="O32" s="25" t="n">
        <f aca="false">INT((N32-D32)/365.25)</f>
        <v>48</v>
      </c>
      <c r="P32" s="12" t="s">
        <v>22</v>
      </c>
    </row>
    <row r="33" customFormat="false" ht="15" hidden="false" customHeight="false" outlineLevel="0" collapsed="false">
      <c r="A33" s="51" t="n">
        <v>29</v>
      </c>
      <c r="B33" s="10" t="n">
        <v>874411</v>
      </c>
      <c r="C33" s="59" t="s">
        <v>1601</v>
      </c>
      <c r="D33" s="60" t="n">
        <v>33384</v>
      </c>
      <c r="E33" s="10" t="s">
        <v>1586</v>
      </c>
      <c r="F33" s="10" t="s">
        <v>160</v>
      </c>
      <c r="G33" s="10" t="s">
        <v>1602</v>
      </c>
      <c r="H33" s="10" t="s">
        <v>1603</v>
      </c>
      <c r="I33" s="10" t="n">
        <v>1065582</v>
      </c>
      <c r="J33" s="10" t="n">
        <v>5444</v>
      </c>
      <c r="K33" s="10" t="s">
        <v>30</v>
      </c>
      <c r="L33" s="10"/>
      <c r="M33" s="11" t="s">
        <v>1541</v>
      </c>
      <c r="N33" s="24" t="n">
        <v>45873</v>
      </c>
      <c r="O33" s="25" t="n">
        <f aca="false">INT((N33-D33)/365.25)</f>
        <v>34</v>
      </c>
      <c r="P33" s="12" t="s">
        <v>22</v>
      </c>
    </row>
    <row r="34" customFormat="false" ht="15" hidden="false" customHeight="false" outlineLevel="0" collapsed="false">
      <c r="A34" s="51" t="n">
        <v>30</v>
      </c>
      <c r="B34" s="10" t="n">
        <v>851612</v>
      </c>
      <c r="C34" s="59" t="s">
        <v>1604</v>
      </c>
      <c r="D34" s="60" t="n">
        <v>38319</v>
      </c>
      <c r="E34" s="10" t="s">
        <v>1586</v>
      </c>
      <c r="F34" s="10" t="s">
        <v>160</v>
      </c>
      <c r="G34" s="10" t="s">
        <v>1605</v>
      </c>
      <c r="H34" s="10" t="n">
        <v>45146249</v>
      </c>
      <c r="I34" s="10" t="n">
        <v>1490182</v>
      </c>
      <c r="J34" s="10" t="n">
        <v>6409</v>
      </c>
      <c r="K34" s="10" t="s">
        <v>1483</v>
      </c>
      <c r="L34" s="10"/>
      <c r="M34" s="11" t="s">
        <v>1541</v>
      </c>
      <c r="N34" s="24" t="n">
        <v>45873</v>
      </c>
      <c r="O34" s="25" t="n">
        <f aca="false">INT((N34-D34)/365.25)</f>
        <v>20</v>
      </c>
      <c r="P34" s="12" t="s">
        <v>22</v>
      </c>
    </row>
    <row r="35" customFormat="false" ht="15" hidden="false" customHeight="false" outlineLevel="0" collapsed="false">
      <c r="A35" s="51" t="n">
        <v>31</v>
      </c>
      <c r="B35" s="10" t="n">
        <v>851615</v>
      </c>
      <c r="C35" s="59" t="s">
        <v>1606</v>
      </c>
      <c r="D35" s="60" t="n">
        <v>34213</v>
      </c>
      <c r="E35" s="10" t="s">
        <v>1586</v>
      </c>
      <c r="F35" s="10" t="s">
        <v>160</v>
      </c>
      <c r="G35" s="10" t="s">
        <v>1607</v>
      </c>
      <c r="H35" s="10" t="s">
        <v>1608</v>
      </c>
      <c r="I35" s="10" t="n">
        <v>1059645</v>
      </c>
      <c r="J35" s="10" t="n">
        <v>9436</v>
      </c>
      <c r="K35" s="10" t="s">
        <v>30</v>
      </c>
      <c r="L35" s="10"/>
      <c r="M35" s="11" t="s">
        <v>1541</v>
      </c>
      <c r="N35" s="24" t="n">
        <v>45873</v>
      </c>
      <c r="O35" s="25" t="n">
        <f aca="false">INT((N35-D35)/365.25)</f>
        <v>31</v>
      </c>
      <c r="P35" s="12" t="s">
        <v>22</v>
      </c>
    </row>
    <row r="36" customFormat="false" ht="15" hidden="false" customHeight="false" outlineLevel="0" collapsed="false">
      <c r="A36" s="51" t="n">
        <v>32</v>
      </c>
      <c r="B36" s="10" t="n">
        <v>850325</v>
      </c>
      <c r="C36" s="10" t="s">
        <v>2395</v>
      </c>
      <c r="D36" s="60" t="n">
        <v>35632</v>
      </c>
      <c r="E36" s="10" t="s">
        <v>1586</v>
      </c>
      <c r="F36" s="10" t="s">
        <v>160</v>
      </c>
      <c r="G36" s="10" t="s">
        <v>2396</v>
      </c>
      <c r="H36" s="10" t="s">
        <v>2397</v>
      </c>
      <c r="I36" s="10" t="n">
        <v>1254584</v>
      </c>
      <c r="J36" s="10" t="n">
        <v>2427</v>
      </c>
      <c r="K36" s="10" t="s">
        <v>30</v>
      </c>
      <c r="L36" s="10"/>
      <c r="M36" s="11" t="s">
        <v>1541</v>
      </c>
      <c r="N36" s="24" t="n">
        <v>45873</v>
      </c>
      <c r="O36" s="25" t="n">
        <f aca="false">INT((N36-D36)/365.25)</f>
        <v>28</v>
      </c>
      <c r="P36" s="12" t="s">
        <v>22</v>
      </c>
    </row>
    <row r="37" customFormat="false" ht="15" hidden="false" customHeight="false" outlineLevel="0" collapsed="false">
      <c r="A37" s="51" t="n">
        <v>33</v>
      </c>
      <c r="B37" s="10" t="n">
        <v>874414</v>
      </c>
      <c r="C37" s="59" t="s">
        <v>1609</v>
      </c>
      <c r="D37" s="60" t="n">
        <v>39210</v>
      </c>
      <c r="E37" s="10" t="s">
        <v>1586</v>
      </c>
      <c r="F37" s="10" t="s">
        <v>160</v>
      </c>
      <c r="G37" s="10" t="s">
        <v>1610</v>
      </c>
      <c r="H37" s="10" t="s">
        <v>1611</v>
      </c>
      <c r="I37" s="10" t="n">
        <v>7099833</v>
      </c>
      <c r="J37" s="10" t="n">
        <v>1465</v>
      </c>
      <c r="K37" s="10" t="s">
        <v>22</v>
      </c>
      <c r="L37" s="10"/>
      <c r="M37" s="11" t="s">
        <v>1541</v>
      </c>
      <c r="N37" s="24" t="n">
        <v>45873</v>
      </c>
      <c r="O37" s="25" t="n">
        <f aca="false">INT((N37-D37)/365.25)</f>
        <v>18</v>
      </c>
      <c r="P37" s="12" t="s">
        <v>22</v>
      </c>
    </row>
    <row r="38" customFormat="false" ht="15" hidden="false" customHeight="false" outlineLevel="0" collapsed="false">
      <c r="A38" s="51" t="n">
        <v>34</v>
      </c>
      <c r="B38" s="10" t="n">
        <v>874425</v>
      </c>
      <c r="C38" s="59" t="s">
        <v>1612</v>
      </c>
      <c r="D38" s="60" t="n">
        <v>36884</v>
      </c>
      <c r="E38" s="10" t="s">
        <v>1586</v>
      </c>
      <c r="F38" s="10" t="s">
        <v>160</v>
      </c>
      <c r="G38" s="10" t="s">
        <v>1613</v>
      </c>
      <c r="H38" s="10" t="s">
        <v>1614</v>
      </c>
      <c r="I38" s="10" t="n">
        <v>7109699</v>
      </c>
      <c r="J38" s="10" t="n">
        <v>1454</v>
      </c>
      <c r="K38" s="10" t="s">
        <v>30</v>
      </c>
      <c r="L38" s="10"/>
      <c r="M38" s="11" t="s">
        <v>1541</v>
      </c>
      <c r="N38" s="24" t="n">
        <v>45873</v>
      </c>
      <c r="O38" s="25" t="n">
        <f aca="false">INT((N38-D38)/365.25)</f>
        <v>24</v>
      </c>
      <c r="P38" s="12" t="s">
        <v>22</v>
      </c>
    </row>
    <row r="39" customFormat="false" ht="15" hidden="false" customHeight="false" outlineLevel="0" collapsed="false">
      <c r="A39" s="51" t="n">
        <v>35</v>
      </c>
      <c r="B39" s="10" t="n">
        <v>874417</v>
      </c>
      <c r="C39" s="59" t="s">
        <v>1615</v>
      </c>
      <c r="D39" s="60" t="n">
        <v>28162</v>
      </c>
      <c r="E39" s="10" t="s">
        <v>1586</v>
      </c>
      <c r="F39" s="10" t="s">
        <v>160</v>
      </c>
      <c r="G39" s="10" t="s">
        <v>1616</v>
      </c>
      <c r="H39" s="10" t="n">
        <v>1788400</v>
      </c>
      <c r="I39" s="10" t="n">
        <v>489225</v>
      </c>
      <c r="J39" s="10" t="n">
        <v>473</v>
      </c>
      <c r="K39" s="10" t="s">
        <v>22</v>
      </c>
      <c r="L39" s="10"/>
      <c r="M39" s="11" t="s">
        <v>1541</v>
      </c>
      <c r="N39" s="24" t="n">
        <v>45873</v>
      </c>
      <c r="O39" s="25" t="n">
        <f aca="false">INT((N39-D39)/365.25)</f>
        <v>48</v>
      </c>
      <c r="P39" s="12" t="s">
        <v>22</v>
      </c>
    </row>
    <row r="40" customFormat="false" ht="15" hidden="false" customHeight="false" outlineLevel="0" collapsed="false">
      <c r="A40" s="51" t="n">
        <v>36</v>
      </c>
      <c r="B40" s="10" t="n">
        <v>862198</v>
      </c>
      <c r="C40" s="10" t="s">
        <v>1906</v>
      </c>
      <c r="D40" s="60" t="n">
        <v>31653</v>
      </c>
      <c r="E40" s="10" t="s">
        <v>1586</v>
      </c>
      <c r="F40" s="10" t="s">
        <v>160</v>
      </c>
      <c r="G40" s="10" t="s">
        <v>1907</v>
      </c>
      <c r="H40" s="10" t="s">
        <v>1908</v>
      </c>
      <c r="I40" s="10" t="n">
        <v>1019098</v>
      </c>
      <c r="J40" s="10" t="n">
        <v>400</v>
      </c>
      <c r="K40" s="10" t="s">
        <v>22</v>
      </c>
      <c r="L40" s="10"/>
      <c r="M40" s="11" t="s">
        <v>1541</v>
      </c>
      <c r="N40" s="24" t="n">
        <v>45873</v>
      </c>
      <c r="O40" s="25" t="n">
        <f aca="false">INT((N40-D40)/365.25)</f>
        <v>38</v>
      </c>
      <c r="P40" s="12" t="s">
        <v>22</v>
      </c>
    </row>
    <row r="41" customFormat="false" ht="15" hidden="false" customHeight="false" outlineLevel="0" collapsed="false">
      <c r="A41" s="51" t="n">
        <v>37</v>
      </c>
      <c r="B41" s="10" t="n">
        <v>874505</v>
      </c>
      <c r="C41" s="59" t="s">
        <v>1617</v>
      </c>
      <c r="D41" s="60" t="n">
        <v>35544</v>
      </c>
      <c r="E41" s="10" t="s">
        <v>1586</v>
      </c>
      <c r="F41" s="10" t="s">
        <v>160</v>
      </c>
      <c r="G41" s="10" t="s">
        <v>1618</v>
      </c>
      <c r="H41" s="10" t="n">
        <v>45158776</v>
      </c>
      <c r="I41" s="10" t="n">
        <v>7205887</v>
      </c>
      <c r="J41" s="10" t="n">
        <v>4455</v>
      </c>
      <c r="K41" s="10" t="s">
        <v>22</v>
      </c>
      <c r="L41" s="10"/>
      <c r="M41" s="11" t="s">
        <v>1541</v>
      </c>
      <c r="N41" s="24" t="n">
        <v>45873</v>
      </c>
      <c r="O41" s="25" t="n">
        <f aca="false">INT((N41-D41)/365.25)</f>
        <v>28</v>
      </c>
      <c r="P41" s="12" t="s">
        <v>22</v>
      </c>
    </row>
    <row r="42" customFormat="false" ht="15" hidden="false" customHeight="false" outlineLevel="0" collapsed="false">
      <c r="A42" s="51" t="n">
        <v>38</v>
      </c>
      <c r="B42" s="10" t="n">
        <v>862158</v>
      </c>
      <c r="C42" s="59" t="s">
        <v>1619</v>
      </c>
      <c r="D42" s="60" t="n">
        <v>36276</v>
      </c>
      <c r="E42" s="10" t="s">
        <v>1586</v>
      </c>
      <c r="F42" s="10" t="s">
        <v>160</v>
      </c>
      <c r="G42" s="10" t="s">
        <v>1620</v>
      </c>
      <c r="H42" s="10" t="s">
        <v>1621</v>
      </c>
      <c r="I42" s="10" t="n">
        <v>606776</v>
      </c>
      <c r="J42" s="10" t="n">
        <v>3540</v>
      </c>
      <c r="K42" s="10" t="s">
        <v>22</v>
      </c>
      <c r="L42" s="10"/>
      <c r="M42" s="11" t="s">
        <v>1541</v>
      </c>
      <c r="N42" s="24" t="n">
        <v>45873</v>
      </c>
      <c r="O42" s="25" t="n">
        <f aca="false">INT((N42-D42)/365.25)</f>
        <v>26</v>
      </c>
      <c r="P42" s="12" t="s">
        <v>22</v>
      </c>
    </row>
    <row r="43" customFormat="false" ht="15" hidden="false" customHeight="false" outlineLevel="0" collapsed="false">
      <c r="A43" s="51" t="n">
        <v>39</v>
      </c>
      <c r="B43" s="10" t="n">
        <v>874423</v>
      </c>
      <c r="C43" s="10" t="s">
        <v>1912</v>
      </c>
      <c r="D43" s="60" t="n">
        <v>35833</v>
      </c>
      <c r="E43" s="10" t="s">
        <v>1586</v>
      </c>
      <c r="F43" s="10" t="s">
        <v>160</v>
      </c>
      <c r="G43" s="10" t="s">
        <v>1913</v>
      </c>
      <c r="H43" s="10" t="s">
        <v>1914</v>
      </c>
      <c r="I43" s="10" t="n">
        <v>1360142</v>
      </c>
      <c r="J43" s="10" t="n">
        <v>5416</v>
      </c>
      <c r="K43" s="10" t="s">
        <v>22</v>
      </c>
      <c r="L43" s="10"/>
      <c r="M43" s="11" t="s">
        <v>1541</v>
      </c>
      <c r="N43" s="24" t="n">
        <v>45873</v>
      </c>
      <c r="O43" s="25" t="n">
        <f aca="false">INT((N43-D43)/365.25)</f>
        <v>27</v>
      </c>
      <c r="P43" s="12" t="s">
        <v>22</v>
      </c>
    </row>
    <row r="44" customFormat="false" ht="15" hidden="false" customHeight="false" outlineLevel="0" collapsed="false">
      <c r="A44" s="51" t="n">
        <v>40</v>
      </c>
      <c r="B44" s="10" t="n">
        <v>874424</v>
      </c>
      <c r="C44" s="59" t="s">
        <v>1622</v>
      </c>
      <c r="D44" s="60" t="n">
        <v>38460</v>
      </c>
      <c r="E44" s="10" t="s">
        <v>1586</v>
      </c>
      <c r="F44" s="10" t="s">
        <v>160</v>
      </c>
      <c r="G44" s="10" t="s">
        <v>1623</v>
      </c>
      <c r="H44" s="10" t="n">
        <v>45139004</v>
      </c>
      <c r="I44" s="10" t="n">
        <v>1505549</v>
      </c>
      <c r="J44" s="10" t="n">
        <v>8478</v>
      </c>
      <c r="K44" s="10" t="s">
        <v>22</v>
      </c>
      <c r="L44" s="10"/>
      <c r="M44" s="11" t="s">
        <v>1541</v>
      </c>
      <c r="N44" s="24" t="n">
        <v>45873</v>
      </c>
      <c r="O44" s="25" t="n">
        <f aca="false">INT((N44-D44)/365.25)</f>
        <v>20</v>
      </c>
      <c r="P44" s="12" t="s">
        <v>22</v>
      </c>
    </row>
  </sheetData>
  <autoFilter ref="K1:K27"/>
  <mergeCells count="1">
    <mergeCell ref="A1:P2"/>
  </mergeCells>
  <conditionalFormatting sqref="O5:O44">
    <cfRule type="colorScale" priority="2">
      <colorScale>
        <cfvo type="num" val="17"/>
        <cfvo type="num" val="18"/>
        <color rgb="FFFF0000"/>
        <color rgb="FF92D050"/>
      </colorScale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D17" activeCellId="0" sqref="D17"/>
    </sheetView>
  </sheetViews>
  <sheetFormatPr defaultColWidth="10.16015625" defaultRowHeight="12.8" customHeight="true" zeroHeight="false" outlineLevelRow="0" outlineLevelCol="0"/>
  <cols>
    <col collapsed="false" customWidth="true" hidden="false" outlineLevel="0" max="1" min="1" style="0" width="21.2"/>
    <col collapsed="false" customWidth="true" hidden="false" outlineLevel="0" max="2" min="2" style="0" width="10.05"/>
    <col collapsed="false" customWidth="true" hidden="false" outlineLevel="0" max="3" min="3" style="0" width="18.91"/>
    <col collapsed="false" customWidth="true" hidden="false" outlineLevel="0" max="4" min="4" style="0" width="73.78"/>
    <col collapsed="false" customWidth="true" hidden="false" outlineLevel="0" max="5" min="5" style="0" width="48.17"/>
  </cols>
  <sheetData>
    <row r="1" customFormat="false" ht="36.55" hidden="false" customHeight="true" outlineLevel="0" collapsed="false">
      <c r="A1" s="70" t="s">
        <v>2398</v>
      </c>
      <c r="B1" s="70" t="s">
        <v>2399</v>
      </c>
      <c r="C1" s="70" t="s">
        <v>2400</v>
      </c>
      <c r="D1" s="70" t="s">
        <v>2401</v>
      </c>
      <c r="E1" s="70" t="s">
        <v>2402</v>
      </c>
    </row>
    <row r="2" s="72" customFormat="true" ht="35.8" hidden="false" customHeight="true" outlineLevel="0" collapsed="false">
      <c r="A2" s="71" t="s">
        <v>2403</v>
      </c>
      <c r="B2" s="72" t="n">
        <v>100</v>
      </c>
      <c r="C2" s="72" t="s">
        <v>2404</v>
      </c>
      <c r="D2" s="72" t="s">
        <v>2405</v>
      </c>
      <c r="E2" s="72" t="s">
        <v>2406</v>
      </c>
    </row>
    <row r="3" s="72" customFormat="true" ht="31.3" hidden="false" customHeight="false" outlineLevel="0" collapsed="false">
      <c r="A3" s="71" t="s">
        <v>2403</v>
      </c>
      <c r="B3" s="72" t="n">
        <v>101</v>
      </c>
      <c r="C3" s="72" t="s">
        <v>2407</v>
      </c>
      <c r="D3" s="72" t="s">
        <v>2408</v>
      </c>
      <c r="E3" s="72" t="s">
        <v>2409</v>
      </c>
    </row>
    <row r="4" s="72" customFormat="true" ht="31.3" hidden="false" customHeight="false" outlineLevel="0" collapsed="false">
      <c r="A4" s="72" t="s">
        <v>2410</v>
      </c>
      <c r="B4" s="72" t="n">
        <v>200</v>
      </c>
      <c r="C4" s="72" t="s">
        <v>22</v>
      </c>
      <c r="D4" s="72" t="s">
        <v>2411</v>
      </c>
      <c r="E4" s="72" t="s">
        <v>2412</v>
      </c>
    </row>
    <row r="5" s="72" customFormat="true" ht="31.3" hidden="false" customHeight="false" outlineLevel="0" collapsed="false">
      <c r="A5" s="72" t="s">
        <v>2410</v>
      </c>
      <c r="B5" s="72" t="n">
        <v>201</v>
      </c>
      <c r="C5" s="72" t="s">
        <v>2413</v>
      </c>
      <c r="D5" s="72" t="s">
        <v>2414</v>
      </c>
      <c r="E5" s="72" t="s">
        <v>2415</v>
      </c>
    </row>
    <row r="6" s="72" customFormat="true" ht="31.3" hidden="false" customHeight="false" outlineLevel="0" collapsed="false">
      <c r="A6" s="72" t="s">
        <v>2410</v>
      </c>
      <c r="B6" s="72" t="n">
        <v>204</v>
      </c>
      <c r="C6" s="72" t="s">
        <v>2416</v>
      </c>
      <c r="D6" s="72" t="s">
        <v>2417</v>
      </c>
      <c r="E6" s="72" t="s">
        <v>2418</v>
      </c>
    </row>
    <row r="7" s="72" customFormat="true" ht="31.3" hidden="false" customHeight="false" outlineLevel="0" collapsed="false">
      <c r="A7" s="71" t="s">
        <v>2410</v>
      </c>
      <c r="B7" s="72" t="n">
        <v>206</v>
      </c>
      <c r="C7" s="72" t="s">
        <v>2419</v>
      </c>
      <c r="D7" s="72" t="s">
        <v>2420</v>
      </c>
      <c r="E7" s="72" t="s">
        <v>2421</v>
      </c>
    </row>
    <row r="8" s="72" customFormat="true" ht="31.3" hidden="false" customHeight="false" outlineLevel="0" collapsed="false">
      <c r="A8" s="71" t="s">
        <v>2422</v>
      </c>
      <c r="B8" s="72" t="n">
        <v>301</v>
      </c>
      <c r="C8" s="72" t="s">
        <v>2423</v>
      </c>
      <c r="D8" s="72" t="s">
        <v>2424</v>
      </c>
      <c r="E8" s="72" t="s">
        <v>2425</v>
      </c>
    </row>
    <row r="9" s="72" customFormat="true" ht="31.3" hidden="false" customHeight="false" outlineLevel="0" collapsed="false">
      <c r="A9" s="71" t="s">
        <v>2422</v>
      </c>
      <c r="B9" s="72" t="n">
        <v>302</v>
      </c>
      <c r="C9" s="72" t="s">
        <v>2426</v>
      </c>
      <c r="D9" s="72" t="s">
        <v>2427</v>
      </c>
      <c r="E9" s="72" t="s">
        <v>2428</v>
      </c>
    </row>
    <row r="10" s="72" customFormat="true" ht="31.3" hidden="false" customHeight="false" outlineLevel="0" collapsed="false">
      <c r="A10" s="71" t="s">
        <v>2422</v>
      </c>
      <c r="B10" s="72" t="n">
        <v>304</v>
      </c>
      <c r="C10" s="72" t="s">
        <v>2429</v>
      </c>
      <c r="D10" s="72" t="s">
        <v>2430</v>
      </c>
      <c r="E10" s="72" t="s">
        <v>2431</v>
      </c>
    </row>
    <row r="11" s="72" customFormat="true" ht="31.3" hidden="false" customHeight="false" outlineLevel="0" collapsed="false">
      <c r="A11" s="72" t="s">
        <v>2432</v>
      </c>
      <c r="B11" s="72" t="n">
        <v>400</v>
      </c>
      <c r="C11" s="72" t="s">
        <v>2433</v>
      </c>
      <c r="D11" s="72" t="s">
        <v>2434</v>
      </c>
      <c r="E11" s="72" t="s">
        <v>2435</v>
      </c>
    </row>
    <row r="12" s="72" customFormat="true" ht="31.3" hidden="false" customHeight="false" outlineLevel="0" collapsed="false">
      <c r="A12" s="72" t="s">
        <v>2432</v>
      </c>
      <c r="B12" s="72" t="n">
        <v>401</v>
      </c>
      <c r="C12" s="72" t="s">
        <v>2436</v>
      </c>
      <c r="D12" s="72" t="s">
        <v>2437</v>
      </c>
      <c r="E12" s="72" t="s">
        <v>2438</v>
      </c>
    </row>
    <row r="13" s="72" customFormat="true" ht="31.3" hidden="false" customHeight="false" outlineLevel="0" collapsed="false">
      <c r="A13" s="72" t="s">
        <v>2432</v>
      </c>
      <c r="B13" s="72" t="n">
        <v>403</v>
      </c>
      <c r="C13" s="72" t="s">
        <v>2439</v>
      </c>
      <c r="D13" s="72" t="s">
        <v>2440</v>
      </c>
      <c r="E13" s="72" t="s">
        <v>2441</v>
      </c>
    </row>
    <row r="14" s="72" customFormat="true" ht="31.3" hidden="false" customHeight="false" outlineLevel="0" collapsed="false">
      <c r="A14" s="72" t="s">
        <v>2432</v>
      </c>
      <c r="B14" s="72" t="n">
        <v>404</v>
      </c>
      <c r="C14" s="72" t="s">
        <v>2442</v>
      </c>
      <c r="D14" s="72" t="s">
        <v>2443</v>
      </c>
      <c r="E14" s="72" t="s">
        <v>2444</v>
      </c>
    </row>
    <row r="15" s="72" customFormat="true" ht="31.3" hidden="false" customHeight="false" outlineLevel="0" collapsed="false">
      <c r="A15" s="72" t="s">
        <v>2432</v>
      </c>
      <c r="B15" s="72" t="n">
        <v>405</v>
      </c>
      <c r="C15" s="72" t="s">
        <v>2445</v>
      </c>
      <c r="D15" s="72" t="s">
        <v>2446</v>
      </c>
      <c r="E15" s="72" t="s">
        <v>2447</v>
      </c>
    </row>
    <row r="16" s="72" customFormat="true" ht="31.3" hidden="false" customHeight="false" outlineLevel="0" collapsed="false">
      <c r="A16" s="71" t="s">
        <v>2432</v>
      </c>
      <c r="B16" s="72" t="n">
        <v>429</v>
      </c>
      <c r="C16" s="72" t="s">
        <v>2448</v>
      </c>
      <c r="D16" s="72" t="s">
        <v>2449</v>
      </c>
      <c r="E16" s="72" t="s">
        <v>2450</v>
      </c>
    </row>
    <row r="17" s="72" customFormat="true" ht="31.3" hidden="false" customHeight="false" outlineLevel="0" collapsed="false">
      <c r="A17" s="72" t="s">
        <v>2451</v>
      </c>
      <c r="B17" s="72" t="n">
        <v>500</v>
      </c>
      <c r="C17" s="72" t="s">
        <v>2452</v>
      </c>
      <c r="D17" s="72" t="s">
        <v>2453</v>
      </c>
      <c r="E17" s="72" t="s">
        <v>2454</v>
      </c>
    </row>
    <row r="18" s="72" customFormat="true" ht="31.3" hidden="false" customHeight="false" outlineLevel="0" collapsed="false">
      <c r="A18" s="72" t="s">
        <v>2451</v>
      </c>
      <c r="B18" s="72" t="n">
        <v>501</v>
      </c>
      <c r="C18" s="72" t="s">
        <v>2455</v>
      </c>
      <c r="D18" s="72" t="s">
        <v>2456</v>
      </c>
      <c r="E18" s="72" t="s">
        <v>2457</v>
      </c>
    </row>
    <row r="19" s="72" customFormat="true" ht="31.3" hidden="false" customHeight="false" outlineLevel="0" collapsed="false">
      <c r="A19" s="72" t="s">
        <v>2451</v>
      </c>
      <c r="B19" s="72" t="n">
        <v>503</v>
      </c>
      <c r="C19" s="72" t="s">
        <v>2458</v>
      </c>
      <c r="D19" s="72" t="s">
        <v>2459</v>
      </c>
      <c r="E19" s="72" t="s">
        <v>2460</v>
      </c>
    </row>
    <row r="20" s="72" customFormat="true" ht="31.3" hidden="false" customHeight="false" outlineLevel="0" collapsed="false">
      <c r="A20" s="72" t="s">
        <v>2451</v>
      </c>
      <c r="B20" s="72" t="n">
        <v>504</v>
      </c>
      <c r="C20" s="72" t="s">
        <v>2461</v>
      </c>
      <c r="D20" s="72" t="s">
        <v>2462</v>
      </c>
      <c r="E20" s="72" t="s">
        <v>2463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LibreOffice/25.8.3.2$Linux_X86_64 LibreOffice_project/69c620f4d99e06f4c05a0e551b1b572b8c7ede69</Application>
  <AppVersion>15.0000</AppVersion>
  <Company>HP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2023-01-05T18:00:34Z</dcterms:created>
  <dc:creator>Isaque Capputo Gonzales</dc:creator>
  <dc:description/>
  <dc:language>pt-BR</dc:language>
  <cp:lastModifiedBy/>
  <cp:lastPrinted>2025-11-21T17:09:09Z</cp:lastPrinted>
  <dcterms:modified xsi:type="dcterms:W3CDTF">2025-11-29T08:24:17Z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